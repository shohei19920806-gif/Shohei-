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凡例" sheetId="1" state="visible" r:id="rId3"/>
    <sheet name="報酬単価表" sheetId="2" state="visible" r:id="rId4"/>
    <sheet name="初期投資" sheetId="3" state="visible" r:id="rId5"/>
    <sheet name="前提条件" sheetId="4" state="visible" r:id="rId6"/>
    <sheet name="人件費" sheetId="5" state="visible" r:id="rId7"/>
    <sheet name="資金調達計画" sheetId="6" state="visible" r:id="rId8"/>
    <sheet name="資金調達(会長借入)" sheetId="7" state="visible" r:id="rId9"/>
    <sheet name="月次資金繰り(Year1)" sheetId="8" state="visible" r:id="rId10"/>
    <sheet name="収支計画5年" sheetId="9" state="visible" r:id="rId11"/>
    <sheet name="加算フル活用シナリオ"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<sst xmlns="http://schemas.openxmlformats.org/spreadsheetml/2006/main" count="305" uniqueCount="270">
  <si>
    <r>
      <rPr>
        <b val="true"/>
        <sz val="14"/>
        <rFont val="WenQuanYi Zen Hei"/>
        <family val="2"/>
      </rPr>
      <t xml:space="preserve">生活介護事業所 収支計画モデル </t>
    </r>
    <r>
      <rPr>
        <b val="true"/>
        <sz val="14"/>
        <rFont val="Arial"/>
        <family val="0"/>
        <charset val="1"/>
      </rPr>
      <t xml:space="preserve">v2(</t>
    </r>
    <r>
      <rPr>
        <b val="true"/>
        <sz val="14"/>
        <rFont val="WenQuanYi Zen Hei"/>
        <family val="2"/>
      </rPr>
      <t xml:space="preserve">広島市・定員</t>
    </r>
    <r>
      <rPr>
        <b val="true"/>
        <sz val="14"/>
        <rFont val="Arial"/>
        <family val="0"/>
        <charset val="1"/>
      </rPr>
      <t xml:space="preserve">20</t>
    </r>
    <r>
      <rPr>
        <b val="true"/>
        <sz val="14"/>
        <rFont val="WenQuanYi Zen Hei"/>
        <family val="2"/>
      </rPr>
      <t xml:space="preserve">名想定</t>
    </r>
    <r>
      <rPr>
        <b val="true"/>
        <sz val="14"/>
        <rFont val="Arial"/>
        <family val="0"/>
        <charset val="1"/>
      </rPr>
      <t xml:space="preserve">)</t>
    </r>
  </si>
  <si>
    <r>
      <rPr>
        <b val="true"/>
        <sz val="11"/>
        <rFont val="WenQuanYi Zen Hei"/>
        <family val="2"/>
      </rPr>
      <t xml:space="preserve">改訂について</t>
    </r>
    <r>
      <rPr>
        <b val="true"/>
        <sz val="11"/>
        <rFont val="Arial"/>
        <family val="0"/>
        <charset val="1"/>
      </rPr>
      <t xml:space="preserve">(v2)</t>
    </r>
  </si>
  <si>
    <r>
      <rPr>
        <sz val="11"/>
        <color rgb="FF000000"/>
        <rFont val="WenQuanYi Zen Hei"/>
        <family val="2"/>
      </rPr>
      <t xml:space="preserve">・本</t>
    </r>
    <r>
      <rPr>
        <sz val="11"/>
        <color rgb="FF000000"/>
        <rFont val="Arial"/>
        <family val="0"/>
        <charset val="1"/>
      </rPr>
      <t xml:space="preserve">v2</t>
    </r>
    <r>
      <rPr>
        <sz val="11"/>
        <color rgb="FF000000"/>
        <rFont val="WenQuanYi Zen Hei"/>
        <family val="2"/>
      </rPr>
      <t xml:space="preserve">は、障害福祉の経営者および広島市指定更新担当職員を想定した</t>
    </r>
    <r>
      <rPr>
        <sz val="11"/>
        <color rgb="FF000000"/>
        <rFont val="Arial"/>
        <family val="0"/>
        <charset val="1"/>
      </rPr>
      <t xml:space="preserve">2</t>
    </r>
    <r>
      <rPr>
        <sz val="11"/>
        <color rgb="FF000000"/>
        <rFont val="WenQuanYi Zen Hei"/>
        <family val="2"/>
      </rPr>
      <t xml:space="preserve">種類の専門家レビューを反映した改訂版です。</t>
    </r>
  </si>
  <si>
    <r>
      <rPr>
        <sz val="11"/>
        <color rgb="FF000000"/>
        <rFont val="WenQuanYi Zen Hei"/>
        <family val="2"/>
      </rPr>
      <t xml:space="preserve">・主な修正：看護職員を必置の独立職種として配置／機能訓練指導員</t>
    </r>
    <r>
      <rPr>
        <sz val="11"/>
        <color rgb="FF000000"/>
        <rFont val="Arial"/>
        <family val="0"/>
        <charset val="1"/>
      </rPr>
      <t xml:space="preserve">(PT</t>
    </r>
    <r>
      <rPr>
        <sz val="11"/>
        <color rgb="FF000000"/>
        <rFont val="WenQuanYi Zen Hei"/>
        <family val="2"/>
      </rPr>
      <t xml:space="preserve">・</t>
    </r>
    <r>
      <rPr>
        <sz val="11"/>
        <color rgb="FF000000"/>
        <rFont val="Arial"/>
        <family val="0"/>
        <charset val="1"/>
      </rPr>
      <t xml:space="preserve">OT)</t>
    </r>
    <r>
      <rPr>
        <sz val="11"/>
        <color rgb="FF000000"/>
        <rFont val="WenQuanYi Zen Hei"/>
        <family val="2"/>
      </rPr>
      <t xml:space="preserve">を追加／面積・賃料・内装費を実勢水準に是正／送迎加算・処遇改善加算の単価を最新の公表値に修正</t>
    </r>
    <r>
      <rPr>
        <sz val="11"/>
        <color rgb="FF000000"/>
        <rFont val="Arial"/>
        <family val="0"/>
        <charset val="1"/>
      </rPr>
      <t xml:space="preserve">(</t>
    </r>
    <r>
      <rPr>
        <sz val="11"/>
        <color rgb="FF000000"/>
        <rFont val="WenQuanYi Zen Hei"/>
        <family val="2"/>
      </rPr>
      <t xml:space="preserve">処遇改善加算は収入と同額を人件費側にも計上し損益中立化</t>
    </r>
    <r>
      <rPr>
        <sz val="11"/>
        <color rgb="FF000000"/>
        <rFont val="Arial"/>
        <family val="0"/>
        <charset val="1"/>
      </rPr>
      <t xml:space="preserve">)</t>
    </r>
    <r>
      <rPr>
        <sz val="11"/>
        <color rgb="FF000000"/>
        <rFont val="WenQuanYi Zen Hei"/>
        <family val="2"/>
      </rPr>
      <t xml:space="preserve">／人員配置比率の分母を前年度平均利用者数</t>
    </r>
    <r>
      <rPr>
        <sz val="11"/>
        <color rgb="FF000000"/>
        <rFont val="Arial"/>
        <family val="0"/>
        <charset val="1"/>
      </rPr>
      <t xml:space="preserve">(</t>
    </r>
    <r>
      <rPr>
        <sz val="11"/>
        <color rgb="FF000000"/>
        <rFont val="WenQuanYi Zen Hei"/>
        <family val="2"/>
      </rPr>
      <t xml:space="preserve">新規は定員</t>
    </r>
    <r>
      <rPr>
        <sz val="11"/>
        <color rgb="FF000000"/>
        <rFont val="Arial"/>
        <family val="0"/>
        <charset val="1"/>
      </rPr>
      <t xml:space="preserve">×90%)</t>
    </r>
    <r>
      <rPr>
        <sz val="11"/>
        <color rgb="FF000000"/>
        <rFont val="WenQuanYi Zen Hei"/>
        <family val="2"/>
      </rPr>
      <t xml:space="preserve">に修正／資金調達計画表と月次資金繰り</t>
    </r>
    <r>
      <rPr>
        <sz val="11"/>
        <color rgb="FF000000"/>
        <rFont val="Arial"/>
        <family val="0"/>
        <charset val="1"/>
      </rPr>
      <t xml:space="preserve">(Year1)</t>
    </r>
    <r>
      <rPr>
        <sz val="11"/>
        <color rgb="FF000000"/>
        <rFont val="WenQuanYi Zen Hei"/>
        <family val="2"/>
      </rPr>
      <t xml:space="preserve">を新設。</t>
    </r>
  </si>
  <si>
    <r>
      <rPr>
        <sz val="11"/>
        <color rgb="FF000000"/>
        <rFont val="WenQuanYi Zen Hei"/>
        <family val="2"/>
      </rPr>
      <t xml:space="preserve">・「前提条件」シートの青字セルが入力用です。黄色背景は特に重要な仮定</t>
    </r>
    <r>
      <rPr>
        <sz val="11"/>
        <color rgb="FF000000"/>
        <rFont val="Arial"/>
        <family val="0"/>
        <charset val="1"/>
      </rPr>
      <t xml:space="preserve">(</t>
    </r>
    <r>
      <rPr>
        <sz val="11"/>
        <color rgb="FF000000"/>
        <rFont val="WenQuanYi Zen Hei"/>
        <family val="2"/>
      </rPr>
      <t xml:space="preserve">要確認</t>
    </r>
    <r>
      <rPr>
        <sz val="11"/>
        <color rgb="FF000000"/>
        <rFont val="Arial"/>
        <family val="0"/>
        <charset val="1"/>
      </rPr>
      <t xml:space="preserve">)</t>
    </r>
    <r>
      <rPr>
        <sz val="11"/>
        <color rgb="FF000000"/>
        <rFont val="WenQuanYi Zen Hei"/>
        <family val="2"/>
      </rPr>
      <t xml:space="preserve">です。広島市への事前相談・最新の報酬告示・現地見積りで必ず確認してください。</t>
    </r>
  </si>
  <si>
    <r>
      <rPr>
        <sz val="11"/>
        <color rgb="FF000000"/>
        <rFont val="WenQuanYi Zen Hei"/>
        <family val="2"/>
      </rPr>
      <t xml:space="preserve">・シート構成：前提条件／報酬単価表</t>
    </r>
    <r>
      <rPr>
        <sz val="11"/>
        <color rgb="FF000000"/>
        <rFont val="Arial"/>
        <family val="0"/>
        <charset val="1"/>
      </rPr>
      <t xml:space="preserve">(</t>
    </r>
    <r>
      <rPr>
        <sz val="11"/>
        <color rgb="FF000000"/>
        <rFont val="WenQuanYi Zen Hei"/>
        <family val="2"/>
      </rPr>
      <t xml:space="preserve">参考</t>
    </r>
    <r>
      <rPr>
        <sz val="11"/>
        <color rgb="FF000000"/>
        <rFont val="Arial"/>
        <family val="0"/>
        <charset val="1"/>
      </rPr>
      <t xml:space="preserve">)</t>
    </r>
    <r>
      <rPr>
        <sz val="11"/>
        <color rgb="FF000000"/>
        <rFont val="WenQuanYi Zen Hei"/>
        <family val="2"/>
      </rPr>
      <t xml:space="preserve">／初期投資／人件費／資金調達計画／資金調達</t>
    </r>
    <r>
      <rPr>
        <sz val="11"/>
        <color rgb="FF000000"/>
        <rFont val="Arial"/>
        <family val="0"/>
        <charset val="1"/>
      </rPr>
      <t xml:space="preserve">(</t>
    </r>
    <r>
      <rPr>
        <sz val="11"/>
        <color rgb="FF000000"/>
        <rFont val="WenQuanYi Zen Hei"/>
        <family val="2"/>
      </rPr>
      <t xml:space="preserve">会長借入</t>
    </r>
    <r>
      <rPr>
        <sz val="11"/>
        <color rgb="FF000000"/>
        <rFont val="Arial"/>
        <family val="0"/>
        <charset val="1"/>
      </rPr>
      <t xml:space="preserve">)</t>
    </r>
    <r>
      <rPr>
        <sz val="11"/>
        <color rgb="FF000000"/>
        <rFont val="WenQuanYi Zen Hei"/>
        <family val="2"/>
      </rPr>
      <t xml:space="preserve">／月次資金繰り</t>
    </r>
    <r>
      <rPr>
        <sz val="11"/>
        <color rgb="FF000000"/>
        <rFont val="Arial"/>
        <family val="0"/>
        <charset val="1"/>
      </rPr>
      <t xml:space="preserve">(Year1)</t>
    </r>
    <r>
      <rPr>
        <sz val="11"/>
        <color rgb="FF000000"/>
        <rFont val="WenQuanYi Zen Hei"/>
        <family val="2"/>
      </rPr>
      <t xml:space="preserve">／収支計画</t>
    </r>
    <r>
      <rPr>
        <sz val="11"/>
        <color rgb="FF000000"/>
        <rFont val="Arial"/>
        <family val="0"/>
        <charset val="1"/>
      </rPr>
      <t xml:space="preserve">5</t>
    </r>
    <r>
      <rPr>
        <sz val="11"/>
        <color rgb="FF000000"/>
        <rFont val="WenQuanYi Zen Hei"/>
        <family val="2"/>
      </rPr>
      <t xml:space="preserve">年</t>
    </r>
  </si>
  <si>
    <t xml:space="preserve">・本モデルはあくまで計画段階の概算です。数値の一次情報での確認、および税理士・社会保険労務士・建築士・行政書士等の専門家レビューを強く推奨します。</t>
  </si>
  <si>
    <r>
      <rPr>
        <b val="true"/>
        <sz val="11"/>
        <rFont val="WenQuanYi Zen Hei"/>
        <family val="2"/>
      </rPr>
      <t xml:space="preserve">生活介護 基本報酬単位数</t>
    </r>
    <r>
      <rPr>
        <b val="true"/>
        <sz val="11"/>
        <rFont val="Arial"/>
        <family val="0"/>
        <charset val="1"/>
      </rPr>
      <t xml:space="preserve">(</t>
    </r>
    <r>
      <rPr>
        <b val="true"/>
        <sz val="11"/>
        <rFont val="WenQuanYi Zen Hei"/>
        <family val="2"/>
      </rPr>
      <t xml:space="preserve">定員</t>
    </r>
    <r>
      <rPr>
        <b val="true"/>
        <sz val="11"/>
        <rFont val="Arial"/>
        <family val="0"/>
        <charset val="1"/>
      </rPr>
      <t xml:space="preserve">20</t>
    </r>
    <r>
      <rPr>
        <b val="true"/>
        <sz val="11"/>
        <rFont val="WenQuanYi Zen Hei"/>
        <family val="2"/>
      </rPr>
      <t xml:space="preserve">人以下・</t>
    </r>
    <r>
      <rPr>
        <b val="true"/>
        <sz val="11"/>
        <rFont val="Arial"/>
        <family val="0"/>
        <charset val="1"/>
      </rPr>
      <t xml:space="preserve">7</t>
    </r>
    <r>
      <rPr>
        <b val="true"/>
        <sz val="11"/>
        <rFont val="WenQuanYi Zen Hei"/>
        <family val="2"/>
      </rPr>
      <t xml:space="preserve">時間以上</t>
    </r>
    <r>
      <rPr>
        <b val="true"/>
        <sz val="11"/>
        <rFont val="Arial"/>
        <family val="0"/>
        <charset val="1"/>
      </rPr>
      <t xml:space="preserve">/</t>
    </r>
    <r>
      <rPr>
        <b val="true"/>
        <sz val="11"/>
        <rFont val="WenQuanYi Zen Hei"/>
        <family val="2"/>
      </rPr>
      <t xml:space="preserve">日</t>
    </r>
    <r>
      <rPr>
        <b val="true"/>
        <sz val="11"/>
        <rFont val="Arial"/>
        <family val="0"/>
        <charset val="1"/>
      </rPr>
      <t xml:space="preserve">)</t>
    </r>
    <r>
      <rPr>
        <b val="true"/>
        <sz val="11"/>
        <rFont val="WenQuanYi Zen Hei"/>
        <family val="2"/>
      </rPr>
      <t xml:space="preserve">【令和</t>
    </r>
    <r>
      <rPr>
        <b val="true"/>
        <sz val="11"/>
        <rFont val="Arial"/>
        <family val="0"/>
        <charset val="1"/>
      </rPr>
      <t xml:space="preserve">6</t>
    </r>
    <r>
      <rPr>
        <b val="true"/>
        <sz val="11"/>
        <rFont val="WenQuanYi Zen Hei"/>
        <family val="2"/>
      </rPr>
      <t xml:space="preserve">年度報酬改定】</t>
    </r>
  </si>
  <si>
    <t xml:space="preserve">平均障害支援区分</t>
  </si>
  <si>
    <r>
      <rPr>
        <b val="true"/>
        <sz val="11"/>
        <color rgb="FFFFFFFF"/>
        <rFont val="WenQuanYi Zen Hei"/>
        <family val="2"/>
      </rPr>
      <t xml:space="preserve">基本単位数</t>
    </r>
    <r>
      <rPr>
        <b val="true"/>
        <sz val="11"/>
        <color rgb="FFFFFFFF"/>
        <rFont val="Arial"/>
        <family val="0"/>
        <charset val="1"/>
      </rPr>
      <t xml:space="preserve">(</t>
    </r>
    <r>
      <rPr>
        <b val="true"/>
        <sz val="11"/>
        <color rgb="FFFFFFFF"/>
        <rFont val="WenQuanYi Zen Hei"/>
        <family val="2"/>
      </rPr>
      <t xml:space="preserve">単位</t>
    </r>
    <r>
      <rPr>
        <b val="true"/>
        <sz val="11"/>
        <color rgb="FFFFFFFF"/>
        <rFont val="Arial"/>
        <family val="0"/>
        <charset val="1"/>
      </rPr>
      <t xml:space="preserve">/</t>
    </r>
    <r>
      <rPr>
        <b val="true"/>
        <sz val="11"/>
        <color rgb="FFFFFFFF"/>
        <rFont val="WenQuanYi Zen Hei"/>
        <family val="2"/>
      </rPr>
      <t xml:space="preserve">日</t>
    </r>
    <r>
      <rPr>
        <b val="true"/>
        <sz val="11"/>
        <color rgb="FFFFFFFF"/>
        <rFont val="Arial"/>
        <family val="0"/>
        <charset val="1"/>
      </rPr>
      <t xml:space="preserve">)</t>
    </r>
  </si>
  <si>
    <r>
      <rPr>
        <b val="true"/>
        <sz val="11"/>
        <color rgb="FFFFFFFF"/>
        <rFont val="WenQuanYi Zen Hei"/>
        <family val="2"/>
      </rPr>
      <t xml:space="preserve">生活支援員等 配置比率</t>
    </r>
    <r>
      <rPr>
        <b val="true"/>
        <sz val="11"/>
        <color rgb="FFFFFFFF"/>
        <rFont val="Arial"/>
        <family val="0"/>
        <charset val="1"/>
      </rPr>
      <t xml:space="preserve">(</t>
    </r>
    <r>
      <rPr>
        <b val="true"/>
        <sz val="11"/>
        <color rgb="FFFFFFFF"/>
        <rFont val="WenQuanYi Zen Hei"/>
        <family val="2"/>
      </rPr>
      <t xml:space="preserve">対利用者数</t>
    </r>
    <r>
      <rPr>
        <b val="true"/>
        <sz val="11"/>
        <color rgb="FFFFFFFF"/>
        <rFont val="Arial"/>
        <family val="0"/>
        <charset val="1"/>
      </rPr>
      <t xml:space="preserve">)</t>
    </r>
  </si>
  <si>
    <r>
      <rPr>
        <sz val="11"/>
        <color theme="1"/>
        <rFont val="WenQuanYi Zen Hei"/>
        <family val="2"/>
      </rPr>
      <t xml:space="preserve">出典・注記：サービス提供時間が</t>
    </r>
    <r>
      <rPr>
        <sz val="11"/>
        <color theme="1"/>
        <rFont val="Calibri"/>
        <family val="2"/>
        <charset val="1"/>
      </rPr>
      <t xml:space="preserve">9:30</t>
    </r>
    <r>
      <rPr>
        <sz val="11"/>
        <color theme="1"/>
        <rFont val="WenQuanYi Zen Hei"/>
        <family val="2"/>
      </rPr>
      <t xml:space="preserve">〜</t>
    </r>
    <r>
      <rPr>
        <sz val="11"/>
        <color theme="1"/>
        <rFont val="Calibri"/>
        <family val="2"/>
        <charset val="1"/>
      </rPr>
      <t xml:space="preserve">16:45(7</t>
    </r>
    <r>
      <rPr>
        <sz val="11"/>
        <color theme="1"/>
        <rFont val="WenQuanYi Zen Hei"/>
        <family val="2"/>
      </rPr>
      <t xml:space="preserve">時間</t>
    </r>
    <r>
      <rPr>
        <sz val="11"/>
        <color theme="1"/>
        <rFont val="Calibri"/>
        <family val="2"/>
        <charset val="1"/>
      </rPr>
      <t xml:space="preserve">15</t>
    </r>
    <r>
      <rPr>
        <sz val="11"/>
        <color theme="1"/>
        <rFont val="WenQuanYi Zen Hei"/>
        <family val="2"/>
      </rPr>
      <t xml:space="preserve">分</t>
    </r>
    <r>
      <rPr>
        <sz val="11"/>
        <color theme="1"/>
        <rFont val="Calibri"/>
        <family val="2"/>
        <charset val="1"/>
      </rPr>
      <t xml:space="preserve">)</t>
    </r>
    <r>
      <rPr>
        <sz val="11"/>
        <color theme="1"/>
        <rFont val="WenQuanYi Zen Hei"/>
        <family val="2"/>
      </rPr>
      <t xml:space="preserve">など「</t>
    </r>
    <r>
      <rPr>
        <sz val="11"/>
        <color theme="1"/>
        <rFont val="Calibri"/>
        <family val="2"/>
        <charset val="1"/>
      </rPr>
      <t xml:space="preserve">7</t>
    </r>
    <r>
      <rPr>
        <sz val="11"/>
        <color theme="1"/>
        <rFont val="WenQuanYi Zen Hei"/>
        <family val="2"/>
      </rPr>
      <t xml:space="preserve">時間以上</t>
    </r>
    <r>
      <rPr>
        <sz val="11"/>
        <color theme="1"/>
        <rFont val="Calibri"/>
        <family val="2"/>
        <charset val="1"/>
      </rPr>
      <t xml:space="preserve">8</t>
    </r>
    <r>
      <rPr>
        <sz val="11"/>
        <color theme="1"/>
        <rFont val="WenQuanYi Zen Hei"/>
        <family val="2"/>
      </rPr>
      <t xml:space="preserve">時間未満」区分に該当することを前提とした単位数です。開所時間を変更する場合は時間区分が変わり単位数も変動するため、厚生労働省告示および広島市提示の最新単価表で必ず再確認してください。区分</t>
    </r>
    <r>
      <rPr>
        <sz val="11"/>
        <color theme="1"/>
        <rFont val="Calibri"/>
        <family val="2"/>
        <charset val="1"/>
      </rPr>
      <t xml:space="preserve">2</t>
    </r>
    <r>
      <rPr>
        <sz val="11"/>
        <color theme="1"/>
        <rFont val="WenQuanYi Zen Hei"/>
        <family val="2"/>
      </rPr>
      <t xml:space="preserve">以下は</t>
    </r>
    <r>
      <rPr>
        <sz val="11"/>
        <color theme="1"/>
        <rFont val="Calibri"/>
        <family val="2"/>
        <charset val="1"/>
      </rPr>
      <t xml:space="preserve">546</t>
    </r>
    <r>
      <rPr>
        <sz val="11"/>
        <color theme="1"/>
        <rFont val="WenQuanYi Zen Hei"/>
        <family val="2"/>
      </rPr>
      <t xml:space="preserve">単位として簡易的に一本化しています。</t>
    </r>
  </si>
  <si>
    <r>
      <rPr>
        <b val="true"/>
        <sz val="14"/>
        <rFont val="WenQuanYi Zen Hei"/>
        <family val="2"/>
      </rPr>
      <t xml:space="preserve">初期投資</t>
    </r>
    <r>
      <rPr>
        <b val="true"/>
        <sz val="14"/>
        <rFont val="Arial"/>
        <family val="0"/>
        <charset val="1"/>
      </rPr>
      <t xml:space="preserve">(</t>
    </r>
    <r>
      <rPr>
        <b val="true"/>
        <sz val="14"/>
        <rFont val="WenQuanYi Zen Hei"/>
        <family val="2"/>
      </rPr>
      <t xml:space="preserve">開設資金</t>
    </r>
    <r>
      <rPr>
        <b val="true"/>
        <sz val="14"/>
        <rFont val="Arial"/>
        <family val="0"/>
        <charset val="1"/>
      </rPr>
      <t xml:space="preserve">)</t>
    </r>
    <r>
      <rPr>
        <b val="true"/>
        <sz val="14"/>
        <rFont val="WenQuanYi Zen Hei"/>
        <family val="2"/>
      </rPr>
      <t xml:space="preserve">概算 ― ケース</t>
    </r>
    <r>
      <rPr>
        <b val="true"/>
        <sz val="14"/>
        <rFont val="Arial"/>
        <family val="0"/>
        <charset val="1"/>
      </rPr>
      <t xml:space="preserve">A:</t>
    </r>
    <r>
      <rPr>
        <b val="true"/>
        <sz val="14"/>
        <rFont val="WenQuanYi Zen Hei"/>
        <family val="2"/>
      </rPr>
      <t xml:space="preserve">居抜き物件を優先活用する前提</t>
    </r>
    <r>
      <rPr>
        <b val="true"/>
        <sz val="14"/>
        <rFont val="Arial"/>
        <family val="0"/>
        <charset val="1"/>
      </rPr>
      <t xml:space="preserve">(</t>
    </r>
    <r>
      <rPr>
        <b val="true"/>
        <sz val="14"/>
        <rFont val="WenQuanYi Zen Hei"/>
        <family val="2"/>
      </rPr>
      <t xml:space="preserve">推奨</t>
    </r>
    <r>
      <rPr>
        <b val="true"/>
        <sz val="14"/>
        <rFont val="Arial"/>
        <family val="0"/>
        <charset val="1"/>
      </rPr>
      <t xml:space="preserve">)</t>
    </r>
  </si>
  <si>
    <r>
      <rPr>
        <sz val="11"/>
        <color theme="1"/>
        <rFont val="WenQuanYi Zen Hei"/>
        <family val="2"/>
      </rPr>
      <t xml:space="preserve">面積を</t>
    </r>
    <r>
      <rPr>
        <sz val="11"/>
        <color theme="1"/>
        <rFont val="Calibri"/>
        <family val="2"/>
        <charset val="1"/>
      </rPr>
      <t xml:space="preserve">250</t>
    </r>
    <r>
      <rPr>
        <sz val="11"/>
        <color theme="1"/>
        <rFont val="WenQuanYi Zen Hei"/>
        <family val="2"/>
      </rPr>
      <t xml:space="preserve">〜</t>
    </r>
    <r>
      <rPr>
        <sz val="11"/>
        <color theme="1"/>
        <rFont val="Calibri"/>
        <family val="2"/>
        <charset val="1"/>
      </rPr>
      <t xml:space="preserve">350</t>
    </r>
    <r>
      <rPr>
        <sz val="11"/>
        <color theme="1"/>
        <rFont val="WenQuanYi Zen Hei"/>
        <family val="2"/>
      </rPr>
      <t xml:space="preserve">㎡</t>
    </r>
    <r>
      <rPr>
        <sz val="11"/>
        <color theme="1"/>
        <rFont val="Calibri"/>
        <family val="2"/>
        <charset val="1"/>
      </rPr>
      <t xml:space="preserve">(</t>
    </r>
    <r>
      <rPr>
        <sz val="11"/>
        <color theme="1"/>
        <rFont val="WenQuanYi Zen Hei"/>
        <family val="2"/>
      </rPr>
      <t xml:space="preserve">定員</t>
    </r>
    <r>
      <rPr>
        <sz val="11"/>
        <color theme="1"/>
        <rFont val="Calibri"/>
        <family val="2"/>
        <charset val="1"/>
      </rPr>
      <t xml:space="preserve">20</t>
    </r>
    <r>
      <rPr>
        <sz val="11"/>
        <color theme="1"/>
        <rFont val="WenQuanYi Zen Hei"/>
        <family val="2"/>
      </rPr>
      <t xml:space="preserve">名の実務標準</t>
    </r>
    <r>
      <rPr>
        <sz val="11"/>
        <color theme="1"/>
        <rFont val="Calibri"/>
        <family val="2"/>
        <charset val="1"/>
      </rPr>
      <t xml:space="preserve">)</t>
    </r>
    <r>
      <rPr>
        <sz val="11"/>
        <color theme="1"/>
        <rFont val="WenQuanYi Zen Hei"/>
        <family val="2"/>
      </rPr>
      <t xml:space="preserve">に是正。用途変更確認申請</t>
    </r>
    <r>
      <rPr>
        <sz val="11"/>
        <color theme="1"/>
        <rFont val="Calibri"/>
        <family val="2"/>
        <charset val="1"/>
      </rPr>
      <t xml:space="preserve">(200</t>
    </r>
    <r>
      <rPr>
        <sz val="11"/>
        <color theme="1"/>
        <rFont val="WenQuanYi Zen Hei"/>
        <family val="2"/>
      </rPr>
      <t xml:space="preserve">㎡超は原則必要。ただし類似用途間の転用は不要となる余地あり</t>
    </r>
    <r>
      <rPr>
        <sz val="11"/>
        <color theme="1"/>
        <rFont val="Calibri"/>
        <family val="2"/>
        <charset val="1"/>
      </rPr>
      <t xml:space="preserve">)</t>
    </r>
    <r>
      <rPr>
        <sz val="11"/>
        <color theme="1"/>
        <rFont val="WenQuanYi Zen Hei"/>
        <family val="2"/>
      </rPr>
      <t xml:space="preserve">・消防用設備工事費を追加。什器・車両・改修工事等の設備投資には消費税の仕入税額控除ができない</t>
    </r>
    <r>
      <rPr>
        <sz val="11"/>
        <color theme="1"/>
        <rFont val="Calibri"/>
        <family val="2"/>
        <charset val="1"/>
      </rPr>
      <t xml:space="preserve">(</t>
    </r>
    <r>
      <rPr>
        <sz val="11"/>
        <color theme="1"/>
        <rFont val="WenQuanYi Zen Hei"/>
        <family val="2"/>
      </rPr>
      <t xml:space="preserve">障害福祉サービスは非課税売上のため</t>
    </r>
    <r>
      <rPr>
        <sz val="11"/>
        <color theme="1"/>
        <rFont val="Calibri"/>
        <family val="2"/>
        <charset val="1"/>
      </rPr>
      <t xml:space="preserve">)</t>
    </r>
    <r>
      <rPr>
        <sz val="11"/>
        <color theme="1"/>
        <rFont val="WenQuanYi Zen Hei"/>
        <family val="2"/>
      </rPr>
      <t xml:space="preserve">ため、下記の物件取得費〜予備費は本体価格</t>
    </r>
    <r>
      <rPr>
        <sz val="11"/>
        <color theme="1"/>
        <rFont val="Calibri"/>
        <family val="2"/>
        <charset val="1"/>
      </rPr>
      <t xml:space="preserve">(</t>
    </r>
    <r>
      <rPr>
        <sz val="11"/>
        <color theme="1"/>
        <rFont val="WenQuanYi Zen Hei"/>
        <family val="2"/>
      </rPr>
      <t xml:space="preserve">税抜</t>
    </r>
    <r>
      <rPr>
        <sz val="11"/>
        <color theme="1"/>
        <rFont val="Calibri"/>
        <family val="2"/>
        <charset val="1"/>
      </rPr>
      <t xml:space="preserve">)</t>
    </r>
    <r>
      <rPr>
        <sz val="11"/>
        <color theme="1"/>
        <rFont val="WenQuanYi Zen Hei"/>
        <family val="2"/>
      </rPr>
      <t xml:space="preserve">で計上し、消費税は別行</t>
    </r>
    <r>
      <rPr>
        <sz val="11"/>
        <color theme="1"/>
        <rFont val="Calibri"/>
        <family val="2"/>
        <charset val="1"/>
      </rPr>
      <t xml:space="preserve">(</t>
    </r>
    <r>
      <rPr>
        <sz val="11"/>
        <color theme="1"/>
        <rFont val="WenQuanYi Zen Hei"/>
        <family val="2"/>
      </rPr>
      <t xml:space="preserve">控除対象外消費税</t>
    </r>
    <r>
      <rPr>
        <sz val="11"/>
        <color theme="1"/>
        <rFont val="Calibri"/>
        <family val="2"/>
        <charset val="1"/>
      </rPr>
      <t xml:space="preserve">)</t>
    </r>
    <r>
      <rPr>
        <sz val="11"/>
        <color theme="1"/>
        <rFont val="WenQuanYi Zen Hei"/>
        <family val="2"/>
      </rPr>
      <t xml:space="preserve">でまとめて加算する</t>
    </r>
    <r>
      <rPr>
        <sz val="11"/>
        <color theme="1"/>
        <rFont val="Calibri"/>
        <family val="2"/>
        <charset val="1"/>
      </rPr>
      <t xml:space="preserve">(</t>
    </r>
    <r>
      <rPr>
        <sz val="11"/>
        <color theme="1"/>
        <rFont val="WenQuanYi Zen Hei"/>
        <family val="2"/>
      </rPr>
      <t xml:space="preserve">税込金額に重ねて課税しないよう、二重計上に注意</t>
    </r>
    <r>
      <rPr>
        <sz val="11"/>
        <color theme="1"/>
        <rFont val="Calibri"/>
        <family val="2"/>
        <charset val="1"/>
      </rPr>
      <t xml:space="preserve">)</t>
    </r>
    <r>
      <rPr>
        <sz val="11"/>
        <color theme="1"/>
        <rFont val="WenQuanYi Zen Hei"/>
        <family val="2"/>
      </rPr>
      <t xml:space="preserve">。</t>
    </r>
  </si>
  <si>
    <t xml:space="preserve">項目</t>
  </si>
  <si>
    <r>
      <rPr>
        <b val="true"/>
        <sz val="11"/>
        <color rgb="FFFFFFFF"/>
        <rFont val="WenQuanYi Zen Hei"/>
        <family val="2"/>
      </rPr>
      <t xml:space="preserve">想定額</t>
    </r>
    <r>
      <rPr>
        <b val="true"/>
        <sz val="11"/>
        <color rgb="FFFFFFFF"/>
        <rFont val="Arial"/>
        <family val="0"/>
        <charset val="1"/>
      </rPr>
      <t xml:space="preserve">(</t>
    </r>
    <r>
      <rPr>
        <b val="true"/>
        <sz val="11"/>
        <color rgb="FFFFFFFF"/>
        <rFont val="WenQuanYi Zen Hei"/>
        <family val="2"/>
      </rPr>
      <t xml:space="preserve">税抜</t>
    </r>
    <r>
      <rPr>
        <b val="true"/>
        <sz val="11"/>
        <color rgb="FFFFFFFF"/>
        <rFont val="Arial"/>
        <family val="0"/>
        <charset val="1"/>
      </rPr>
      <t xml:space="preserve">)</t>
    </r>
  </si>
  <si>
    <r>
      <rPr>
        <b val="true"/>
        <sz val="11"/>
        <color rgb="FFFFFFFF"/>
        <rFont val="WenQuanYi Zen Hei"/>
        <family val="2"/>
      </rPr>
      <t xml:space="preserve">レンジ</t>
    </r>
    <r>
      <rPr>
        <b val="true"/>
        <sz val="11"/>
        <color rgb="FFFFFFFF"/>
        <rFont val="Arial"/>
        <family val="0"/>
        <charset val="1"/>
      </rPr>
      <t xml:space="preserve">(</t>
    </r>
    <r>
      <rPr>
        <b val="true"/>
        <sz val="11"/>
        <color rgb="FFFFFFFF"/>
        <rFont val="WenQuanYi Zen Hei"/>
        <family val="2"/>
      </rPr>
      <t xml:space="preserve">参考</t>
    </r>
    <r>
      <rPr>
        <b val="true"/>
        <sz val="11"/>
        <color rgb="FFFFFFFF"/>
        <rFont val="Arial"/>
        <family val="0"/>
        <charset val="1"/>
      </rPr>
      <t xml:space="preserve">)</t>
    </r>
  </si>
  <si>
    <t xml:space="preserve">備考</t>
  </si>
  <si>
    <r>
      <rPr>
        <sz val="11"/>
        <color rgb="FF000000"/>
        <rFont val="WenQuanYi Zen Hei"/>
        <family val="2"/>
      </rPr>
      <t xml:space="preserve">物件取得費</t>
    </r>
    <r>
      <rPr>
        <sz val="11"/>
        <color rgb="FF000000"/>
        <rFont val="Arial"/>
        <family val="0"/>
        <charset val="1"/>
      </rPr>
      <t xml:space="preserve">(</t>
    </r>
    <r>
      <rPr>
        <sz val="11"/>
        <color rgb="FF000000"/>
        <rFont val="WenQuanYi Zen Hei"/>
        <family val="2"/>
      </rPr>
      <t xml:space="preserve">保証金・仲介手数料等</t>
    </r>
    <r>
      <rPr>
        <sz val="11"/>
        <color rgb="FF000000"/>
        <rFont val="Arial"/>
        <family val="0"/>
        <charset val="1"/>
      </rPr>
      <t xml:space="preserve">)</t>
    </r>
  </si>
  <si>
    <r>
      <rPr>
        <sz val="11"/>
        <color rgb="FF000000"/>
        <rFont val="Arial"/>
        <family val="0"/>
        <charset val="1"/>
      </rPr>
      <t xml:space="preserve">300</t>
    </r>
    <r>
      <rPr>
        <sz val="11"/>
        <color rgb="FF000000"/>
        <rFont val="WenQuanYi Zen Hei"/>
        <family val="2"/>
      </rPr>
      <t xml:space="preserve">万〜</t>
    </r>
    <r>
      <rPr>
        <sz val="11"/>
        <color rgb="FF000000"/>
        <rFont val="Arial"/>
        <family val="0"/>
        <charset val="1"/>
      </rPr>
      <t xml:space="preserve">500</t>
    </r>
    <r>
      <rPr>
        <sz val="11"/>
        <color rgb="FF000000"/>
        <rFont val="WenQuanYi Zen Hei"/>
        <family val="2"/>
      </rPr>
      <t xml:space="preserve">万円</t>
    </r>
  </si>
  <si>
    <r>
      <rPr>
        <sz val="11"/>
        <color rgb="FF000000"/>
        <rFont val="WenQuanYi Zen Hei"/>
        <family val="2"/>
      </rPr>
      <t xml:space="preserve">賃貸物件</t>
    </r>
    <r>
      <rPr>
        <sz val="11"/>
        <color rgb="FF000000"/>
        <rFont val="Arial"/>
        <family val="0"/>
        <charset val="1"/>
      </rPr>
      <t xml:space="preserve">(</t>
    </r>
    <r>
      <rPr>
        <sz val="11"/>
        <color rgb="FF000000"/>
        <rFont val="WenQuanYi Zen Hei"/>
        <family val="2"/>
      </rPr>
      <t xml:space="preserve">延床</t>
    </r>
    <r>
      <rPr>
        <sz val="11"/>
        <color rgb="FF000000"/>
        <rFont val="Arial"/>
        <family val="0"/>
        <charset val="1"/>
      </rPr>
      <t xml:space="preserve">250</t>
    </r>
    <r>
      <rPr>
        <sz val="11"/>
        <color rgb="FF000000"/>
        <rFont val="WenQuanYi Zen Hei"/>
        <family val="2"/>
      </rPr>
      <t xml:space="preserve">〜</t>
    </r>
    <r>
      <rPr>
        <sz val="11"/>
        <color rgb="FF000000"/>
        <rFont val="Arial"/>
        <family val="0"/>
        <charset val="1"/>
      </rPr>
      <t xml:space="preserve">350</t>
    </r>
    <r>
      <rPr>
        <sz val="11"/>
        <color rgb="FF000000"/>
        <rFont val="WenQuanYi Zen Hei"/>
        <family val="2"/>
      </rPr>
      <t xml:space="preserve">㎡</t>
    </r>
    <r>
      <rPr>
        <sz val="11"/>
        <color rgb="FF000000"/>
        <rFont val="Arial"/>
        <family val="0"/>
        <charset val="1"/>
      </rPr>
      <t xml:space="preserve">)</t>
    </r>
    <r>
      <rPr>
        <sz val="11"/>
        <color rgb="FF000000"/>
        <rFont val="WenQuanYi Zen Hei"/>
        <family val="2"/>
      </rPr>
      <t xml:space="preserve">を想定。保証金は賃料の</t>
    </r>
    <r>
      <rPr>
        <sz val="11"/>
        <color rgb="FF000000"/>
        <rFont val="Arial"/>
        <family val="0"/>
        <charset val="1"/>
      </rPr>
      <t xml:space="preserve">6</t>
    </r>
    <r>
      <rPr>
        <sz val="11"/>
        <color rgb="FF000000"/>
        <rFont val="WenQuanYi Zen Hei"/>
        <family val="2"/>
      </rPr>
      <t xml:space="preserve">〜</t>
    </r>
    <r>
      <rPr>
        <sz val="11"/>
        <color rgb="FF000000"/>
        <rFont val="Arial"/>
        <family val="0"/>
        <charset val="1"/>
      </rPr>
      <t xml:space="preserve">10</t>
    </r>
    <r>
      <rPr>
        <sz val="11"/>
        <color rgb="FF000000"/>
        <rFont val="WenQuanYi Zen Hei"/>
        <family val="2"/>
      </rPr>
      <t xml:space="preserve">か月分が目安</t>
    </r>
  </si>
  <si>
    <t xml:space="preserve">内装・バリアフリー改修工事費</t>
  </si>
  <si>
    <r>
      <rPr>
        <sz val="11"/>
        <color rgb="FF000000"/>
        <rFont val="Arial"/>
        <family val="0"/>
        <charset val="1"/>
      </rPr>
      <t xml:space="preserve">500</t>
    </r>
    <r>
      <rPr>
        <sz val="11"/>
        <color rgb="FF000000"/>
        <rFont val="WenQuanYi Zen Hei"/>
        <family val="2"/>
      </rPr>
      <t xml:space="preserve">万〜</t>
    </r>
    <r>
      <rPr>
        <sz val="11"/>
        <color rgb="FF000000"/>
        <rFont val="Arial"/>
        <family val="0"/>
        <charset val="1"/>
      </rPr>
      <t xml:space="preserve">1,000</t>
    </r>
    <r>
      <rPr>
        <sz val="11"/>
        <color rgb="FF000000"/>
        <rFont val="WenQuanYi Zen Hei"/>
        <family val="2"/>
      </rPr>
      <t xml:space="preserve">万円</t>
    </r>
    <r>
      <rPr>
        <sz val="11"/>
        <color rgb="FF000000"/>
        <rFont val="Arial"/>
        <family val="0"/>
        <charset val="1"/>
      </rPr>
      <t xml:space="preserve">(</t>
    </r>
    <r>
      <rPr>
        <sz val="11"/>
        <color rgb="FF000000"/>
        <rFont val="WenQuanYi Zen Hei"/>
        <family val="2"/>
      </rPr>
      <t xml:space="preserve">居抜き</t>
    </r>
    <r>
      <rPr>
        <sz val="11"/>
        <color rgb="FF000000"/>
        <rFont val="Arial"/>
        <family val="0"/>
        <charset val="1"/>
      </rPr>
      <t xml:space="preserve">) / 1,800</t>
    </r>
    <r>
      <rPr>
        <sz val="11"/>
        <color rgb="FF000000"/>
        <rFont val="WenQuanYi Zen Hei"/>
        <family val="2"/>
      </rPr>
      <t xml:space="preserve">万〜</t>
    </r>
    <r>
      <rPr>
        <sz val="11"/>
        <color rgb="FF000000"/>
        <rFont val="Arial"/>
        <family val="0"/>
        <charset val="1"/>
      </rPr>
      <t xml:space="preserve">2,700</t>
    </r>
    <r>
      <rPr>
        <sz val="11"/>
        <color rgb="FF000000"/>
        <rFont val="WenQuanYi Zen Hei"/>
        <family val="2"/>
      </rPr>
      <t xml:space="preserve">万円</t>
    </r>
    <r>
      <rPr>
        <sz val="11"/>
        <color rgb="FF000000"/>
        <rFont val="Arial"/>
        <family val="0"/>
        <charset val="1"/>
      </rPr>
      <t xml:space="preserve">(</t>
    </r>
    <r>
      <rPr>
        <sz val="11"/>
        <color rgb="FF000000"/>
        <rFont val="WenQuanYi Zen Hei"/>
        <family val="2"/>
      </rPr>
      <t xml:space="preserve">一般物件</t>
    </r>
    <r>
      <rPr>
        <sz val="11"/>
        <color rgb="FF000000"/>
        <rFont val="Arial"/>
        <family val="0"/>
        <charset val="1"/>
      </rPr>
      <t xml:space="preserve">)</t>
    </r>
  </si>
  <si>
    <r>
      <rPr>
        <sz val="11"/>
        <color rgb="FF000000"/>
        <rFont val="WenQuanYi Zen Hei"/>
        <family val="2"/>
      </rPr>
      <t xml:space="preserve">元デイサービス・クリニック等の居抜き物件を優先探索する前提</t>
    </r>
    <r>
      <rPr>
        <sz val="11"/>
        <color rgb="FF000000"/>
        <rFont val="Arial"/>
        <family val="0"/>
        <charset val="1"/>
      </rPr>
      <t xml:space="preserve">(</t>
    </r>
    <r>
      <rPr>
        <sz val="11"/>
        <color rgb="FF000000"/>
        <rFont val="WenQuanYi Zen Hei"/>
        <family val="2"/>
      </rPr>
      <t xml:space="preserve">ケース</t>
    </r>
    <r>
      <rPr>
        <sz val="11"/>
        <color rgb="FF000000"/>
        <rFont val="Arial"/>
        <family val="0"/>
        <charset val="1"/>
      </rPr>
      <t xml:space="preserve">B:</t>
    </r>
    <r>
      <rPr>
        <sz val="11"/>
        <color rgb="FF000000"/>
        <rFont val="WenQuanYi Zen Hei"/>
        <family val="2"/>
      </rPr>
      <t xml:space="preserve">一般物件の場合は右記上振れ</t>
    </r>
    <r>
      <rPr>
        <sz val="11"/>
        <color rgb="FF000000"/>
        <rFont val="Arial"/>
        <family val="0"/>
        <charset val="1"/>
      </rPr>
      <t xml:space="preserve">)</t>
    </r>
  </si>
  <si>
    <t xml:space="preserve">用途変更確認申請・設計費</t>
  </si>
  <si>
    <r>
      <rPr>
        <sz val="11"/>
        <color rgb="FF000000"/>
        <rFont val="Arial"/>
        <family val="0"/>
        <charset val="1"/>
      </rPr>
      <t xml:space="preserve">50</t>
    </r>
    <r>
      <rPr>
        <sz val="11"/>
        <color rgb="FF000000"/>
        <rFont val="WenQuanYi Zen Hei"/>
        <family val="2"/>
      </rPr>
      <t xml:space="preserve">万〜</t>
    </r>
    <r>
      <rPr>
        <sz val="11"/>
        <color rgb="FF000000"/>
        <rFont val="Arial"/>
        <family val="0"/>
        <charset val="1"/>
      </rPr>
      <t xml:space="preserve">150</t>
    </r>
    <r>
      <rPr>
        <sz val="11"/>
        <color rgb="FF000000"/>
        <rFont val="WenQuanYi Zen Hei"/>
        <family val="2"/>
      </rPr>
      <t xml:space="preserve">万円</t>
    </r>
  </si>
  <si>
    <r>
      <rPr>
        <sz val="11"/>
        <color rgb="FF000000"/>
        <rFont val="WenQuanYi Zen Hei"/>
        <family val="2"/>
      </rPr>
      <t xml:space="preserve">延床</t>
    </r>
    <r>
      <rPr>
        <sz val="11"/>
        <color rgb="FF000000"/>
        <rFont val="Arial"/>
        <family val="0"/>
        <charset val="1"/>
      </rPr>
      <t xml:space="preserve">200</t>
    </r>
    <r>
      <rPr>
        <sz val="11"/>
        <color rgb="FF000000"/>
        <rFont val="WenQuanYi Zen Hei"/>
        <family val="2"/>
      </rPr>
      <t xml:space="preserve">㎡超は建築基準法上の用途変更確認申請が必須</t>
    </r>
    <r>
      <rPr>
        <sz val="11"/>
        <color rgb="FF000000"/>
        <rFont val="Arial"/>
        <family val="0"/>
        <charset val="1"/>
      </rPr>
      <t xml:space="preserve">(</t>
    </r>
    <r>
      <rPr>
        <sz val="11"/>
        <color rgb="FF000000"/>
        <rFont val="WenQuanYi Zen Hei"/>
        <family val="2"/>
      </rPr>
      <t xml:space="preserve">国交省通知</t>
    </r>
    <r>
      <rPr>
        <sz val="11"/>
        <color rgb="FF000000"/>
        <rFont val="Arial"/>
        <family val="0"/>
        <charset val="1"/>
      </rPr>
      <t xml:space="preserve">)</t>
    </r>
    <r>
      <rPr>
        <sz val="11"/>
        <color rgb="FF000000"/>
        <rFont val="WenQuanYi Zen Hei"/>
        <family val="2"/>
      </rPr>
      <t xml:space="preserve">。建築士への事前確認が前提</t>
    </r>
  </si>
  <si>
    <t xml:space="preserve">消防用設備工事費</t>
  </si>
  <si>
    <r>
      <rPr>
        <sz val="11"/>
        <color rgb="FF000000"/>
        <rFont val="WenQuanYi Zen Hei"/>
        <family val="2"/>
      </rPr>
      <t xml:space="preserve">居抜きで既存設備流用なら圧縮可、新設なら</t>
    </r>
    <r>
      <rPr>
        <sz val="11"/>
        <color rgb="FF000000"/>
        <rFont val="Arial"/>
        <family val="0"/>
        <charset val="1"/>
      </rPr>
      <t xml:space="preserve">200</t>
    </r>
    <r>
      <rPr>
        <sz val="11"/>
        <color rgb="FF000000"/>
        <rFont val="WenQuanYi Zen Hei"/>
        <family val="2"/>
      </rPr>
      <t xml:space="preserve">万円超も</t>
    </r>
  </si>
  <si>
    <r>
      <rPr>
        <sz val="11"/>
        <color rgb="FF000000"/>
        <rFont val="WenQuanYi Zen Hei"/>
        <family val="2"/>
      </rPr>
      <t xml:space="preserve">消防法施行令別表第一</t>
    </r>
    <r>
      <rPr>
        <sz val="11"/>
        <color rgb="FF000000"/>
        <rFont val="Arial"/>
        <family val="0"/>
        <charset val="1"/>
      </rPr>
      <t xml:space="preserve">(6)</t>
    </r>
    <r>
      <rPr>
        <sz val="11"/>
        <color rgb="FF000000"/>
        <rFont val="WenQuanYi Zen Hei"/>
        <family val="2"/>
      </rPr>
      <t xml:space="preserve">項ハ相当。自動火災報知設備・誘導灯等。消防署予防課への事前相談必須</t>
    </r>
  </si>
  <si>
    <t xml:space="preserve">什器・備品費</t>
  </si>
  <si>
    <r>
      <rPr>
        <sz val="11"/>
        <color rgb="FF000000"/>
        <rFont val="Arial"/>
        <family val="0"/>
        <charset val="1"/>
      </rPr>
      <t xml:space="preserve">150</t>
    </r>
    <r>
      <rPr>
        <sz val="11"/>
        <color rgb="FF000000"/>
        <rFont val="WenQuanYi Zen Hei"/>
        <family val="2"/>
      </rPr>
      <t xml:space="preserve">万〜</t>
    </r>
    <r>
      <rPr>
        <sz val="11"/>
        <color rgb="FF000000"/>
        <rFont val="Arial"/>
        <family val="0"/>
        <charset val="1"/>
      </rPr>
      <t xml:space="preserve">350</t>
    </r>
    <r>
      <rPr>
        <sz val="11"/>
        <color rgb="FF000000"/>
        <rFont val="WenQuanYi Zen Hei"/>
        <family val="2"/>
      </rPr>
      <t xml:space="preserve">万円</t>
    </r>
  </si>
  <si>
    <t xml:space="preserve">机・椅子・収納・厨房設備・送迎用備品等</t>
  </si>
  <si>
    <r>
      <rPr>
        <sz val="11"/>
        <color rgb="FF000000"/>
        <rFont val="WenQuanYi Zen Hei"/>
        <family val="2"/>
      </rPr>
      <t xml:space="preserve">送迎車両</t>
    </r>
    <r>
      <rPr>
        <sz val="11"/>
        <color rgb="FF000000"/>
        <rFont val="Arial"/>
        <family val="0"/>
        <charset val="1"/>
      </rPr>
      <t xml:space="preserve">(</t>
    </r>
    <r>
      <rPr>
        <sz val="11"/>
        <color rgb="FF000000"/>
        <rFont val="WenQuanYi Zen Hei"/>
        <family val="2"/>
      </rPr>
      <t xml:space="preserve">福祉車両</t>
    </r>
    <r>
      <rPr>
        <sz val="11"/>
        <color rgb="FF000000"/>
        <rFont val="Arial"/>
        <family val="0"/>
        <charset val="1"/>
      </rPr>
      <t xml:space="preserve">2</t>
    </r>
    <r>
      <rPr>
        <sz val="11"/>
        <color rgb="FF000000"/>
        <rFont val="WenQuanYi Zen Hei"/>
        <family val="2"/>
      </rPr>
      <t xml:space="preserve">台・購入</t>
    </r>
    <r>
      <rPr>
        <sz val="11"/>
        <color rgb="FF000000"/>
        <rFont val="Arial"/>
        <family val="0"/>
        <charset val="1"/>
      </rPr>
      <t xml:space="preserve">)</t>
    </r>
  </si>
  <si>
    <r>
      <rPr>
        <sz val="11"/>
        <color rgb="FF000000"/>
        <rFont val="Arial"/>
        <family val="0"/>
        <charset val="1"/>
      </rPr>
      <t xml:space="preserve">400</t>
    </r>
    <r>
      <rPr>
        <sz val="11"/>
        <color rgb="FF000000"/>
        <rFont val="WenQuanYi Zen Hei"/>
        <family val="2"/>
      </rPr>
      <t xml:space="preserve">万〜</t>
    </r>
    <r>
      <rPr>
        <sz val="11"/>
        <color rgb="FF000000"/>
        <rFont val="Arial"/>
        <family val="0"/>
        <charset val="1"/>
      </rPr>
      <t xml:space="preserve">800</t>
    </r>
    <r>
      <rPr>
        <sz val="11"/>
        <color rgb="FF000000"/>
        <rFont val="WenQuanYi Zen Hei"/>
        <family val="2"/>
      </rPr>
      <t xml:space="preserve">万円</t>
    </r>
  </si>
  <si>
    <r>
      <rPr>
        <sz val="11"/>
        <color rgb="FF000000"/>
        <rFont val="WenQuanYi Zen Hei"/>
        <family val="2"/>
      </rPr>
      <t xml:space="preserve">新車</t>
    </r>
    <r>
      <rPr>
        <sz val="11"/>
        <color rgb="FF000000"/>
        <rFont val="Arial"/>
        <family val="0"/>
        <charset val="1"/>
      </rPr>
      <t xml:space="preserve">/</t>
    </r>
    <r>
      <rPr>
        <sz val="11"/>
        <color rgb="FF000000"/>
        <rFont val="WenQuanYi Zen Hei"/>
        <family val="2"/>
      </rPr>
      <t xml:space="preserve">中古で幅あり。維持費</t>
    </r>
    <r>
      <rPr>
        <sz val="11"/>
        <color rgb="FF000000"/>
        <rFont val="Arial"/>
        <family val="0"/>
        <charset val="1"/>
      </rPr>
      <t xml:space="preserve">(</t>
    </r>
    <r>
      <rPr>
        <sz val="11"/>
        <color rgb="FF000000"/>
        <rFont val="WenQuanYi Zen Hei"/>
        <family val="2"/>
      </rPr>
      <t xml:space="preserve">燃料・保険等</t>
    </r>
    <r>
      <rPr>
        <sz val="11"/>
        <color rgb="FF000000"/>
        <rFont val="Arial"/>
        <family val="0"/>
        <charset val="1"/>
      </rPr>
      <t xml:space="preserve">)</t>
    </r>
    <r>
      <rPr>
        <sz val="11"/>
        <color rgb="FF000000"/>
        <rFont val="WenQuanYi Zen Hei"/>
        <family val="2"/>
      </rPr>
      <t xml:space="preserve">は別途「前提条件」で計上</t>
    </r>
  </si>
  <si>
    <t xml:space="preserve">開業前人件費・採用費・研修費</t>
  </si>
  <si>
    <r>
      <rPr>
        <sz val="11"/>
        <color rgb="FF000000"/>
        <rFont val="WenQuanYi Zen Hei"/>
        <family val="2"/>
      </rPr>
      <t xml:space="preserve">生活支援員等</t>
    </r>
    <r>
      <rPr>
        <sz val="11"/>
        <color rgb="FF000000"/>
        <rFont val="Arial"/>
        <family val="0"/>
        <charset val="1"/>
      </rPr>
      <t xml:space="preserve">5</t>
    </r>
    <r>
      <rPr>
        <sz val="11"/>
        <color rgb="FF000000"/>
        <rFont val="WenQuanYi Zen Hei"/>
        <family val="2"/>
      </rPr>
      <t xml:space="preserve">〜</t>
    </r>
    <r>
      <rPr>
        <sz val="11"/>
        <color rgb="FF000000"/>
        <rFont val="Arial"/>
        <family val="0"/>
        <charset val="1"/>
      </rPr>
      <t xml:space="preserve">6</t>
    </r>
    <r>
      <rPr>
        <sz val="11"/>
        <color rgb="FF000000"/>
        <rFont val="WenQuanYi Zen Hei"/>
        <family val="2"/>
      </rPr>
      <t xml:space="preserve">名の採用費</t>
    </r>
    <r>
      <rPr>
        <sz val="11"/>
        <color rgb="FF000000"/>
        <rFont val="Arial"/>
        <family val="0"/>
        <charset val="1"/>
      </rPr>
      <t xml:space="preserve">(</t>
    </r>
    <r>
      <rPr>
        <sz val="11"/>
        <color rgb="FF000000"/>
        <rFont val="WenQuanYi Zen Hei"/>
        <family val="2"/>
      </rPr>
      <t xml:space="preserve">人材紹介利用時は年収の</t>
    </r>
    <r>
      <rPr>
        <sz val="11"/>
        <color rgb="FF000000"/>
        <rFont val="Arial"/>
        <family val="0"/>
        <charset val="1"/>
      </rPr>
      <t xml:space="preserve">20</t>
    </r>
    <r>
      <rPr>
        <sz val="11"/>
        <color rgb="FF000000"/>
        <rFont val="WenQuanYi Zen Hei"/>
        <family val="2"/>
      </rPr>
      <t xml:space="preserve">〜</t>
    </r>
    <r>
      <rPr>
        <sz val="11"/>
        <color rgb="FF000000"/>
        <rFont val="Arial"/>
        <family val="0"/>
        <charset val="1"/>
      </rPr>
      <t xml:space="preserve">30%/</t>
    </r>
    <r>
      <rPr>
        <sz val="11"/>
        <color rgb="FF000000"/>
        <rFont val="WenQuanYi Zen Hei"/>
        <family val="2"/>
      </rPr>
      <t xml:space="preserve">人</t>
    </r>
    <r>
      <rPr>
        <sz val="11"/>
        <color rgb="FF000000"/>
        <rFont val="Arial"/>
        <family val="0"/>
        <charset val="1"/>
      </rPr>
      <t xml:space="preserve">)</t>
    </r>
    <r>
      <rPr>
        <sz val="11"/>
        <color rgb="FF000000"/>
        <rFont val="WenQuanYi Zen Hei"/>
        <family val="2"/>
      </rPr>
      <t xml:space="preserve">＋開所前研修期間の給与</t>
    </r>
  </si>
  <si>
    <t xml:space="preserve">法人設立費用</t>
  </si>
  <si>
    <r>
      <rPr>
        <sz val="11"/>
        <color rgb="FF000000"/>
        <rFont val="Arial"/>
        <family val="0"/>
        <charset val="1"/>
      </rPr>
      <t xml:space="preserve">20</t>
    </r>
    <r>
      <rPr>
        <sz val="11"/>
        <color rgb="FF000000"/>
        <rFont val="WenQuanYi Zen Hei"/>
        <family val="2"/>
      </rPr>
      <t xml:space="preserve">万〜</t>
    </r>
    <r>
      <rPr>
        <sz val="11"/>
        <color rgb="FF000000"/>
        <rFont val="Arial"/>
        <family val="0"/>
        <charset val="1"/>
      </rPr>
      <t xml:space="preserve">30</t>
    </r>
    <r>
      <rPr>
        <sz val="11"/>
        <color rgb="FF000000"/>
        <rFont val="WenQuanYi Zen Hei"/>
        <family val="2"/>
      </rPr>
      <t xml:space="preserve">万円</t>
    </r>
  </si>
  <si>
    <t xml:space="preserve">登録免許税・司法書士報酬等</t>
  </si>
  <si>
    <t xml:space="preserve">予備費</t>
  </si>
  <si>
    <r>
      <rPr>
        <sz val="11"/>
        <color rgb="FF000000"/>
        <rFont val="Arial"/>
        <family val="0"/>
        <charset val="1"/>
      </rPr>
      <t xml:space="preserve">150</t>
    </r>
    <r>
      <rPr>
        <sz val="11"/>
        <color rgb="FF000000"/>
        <rFont val="WenQuanYi Zen Hei"/>
        <family val="2"/>
      </rPr>
      <t xml:space="preserve">万〜</t>
    </r>
    <r>
      <rPr>
        <sz val="11"/>
        <color rgb="FF000000"/>
        <rFont val="Arial"/>
        <family val="0"/>
        <charset val="1"/>
      </rPr>
      <t xml:space="preserve">250</t>
    </r>
    <r>
      <rPr>
        <sz val="11"/>
        <color rgb="FF000000"/>
        <rFont val="WenQuanYi Zen Hei"/>
        <family val="2"/>
      </rPr>
      <t xml:space="preserve">万円</t>
    </r>
  </si>
  <si>
    <r>
      <rPr>
        <sz val="11"/>
        <color rgb="FF000000"/>
        <rFont val="WenQuanYi Zen Hei"/>
        <family val="2"/>
      </rPr>
      <t xml:space="preserve">控除対象外消費税</t>
    </r>
    <r>
      <rPr>
        <sz val="11"/>
        <color rgb="FF000000"/>
        <rFont val="Arial"/>
        <family val="0"/>
        <charset val="1"/>
      </rPr>
      <t xml:space="preserve">(</t>
    </r>
    <r>
      <rPr>
        <sz val="11"/>
        <color rgb="FF000000"/>
        <rFont val="WenQuanYi Zen Hei"/>
        <family val="2"/>
      </rPr>
      <t xml:space="preserve">上記設備投資分の概算</t>
    </r>
    <r>
      <rPr>
        <sz val="11"/>
        <color rgb="FF000000"/>
        <rFont val="Arial"/>
        <family val="0"/>
        <charset val="1"/>
      </rPr>
      <t xml:space="preserve">10%)</t>
    </r>
  </si>
  <si>
    <r>
      <rPr>
        <sz val="11"/>
        <color rgb="FF000000"/>
        <rFont val="WenQuanYi Zen Hei"/>
        <family val="2"/>
      </rPr>
      <t xml:space="preserve">障害福祉サービス</t>
    </r>
    <r>
      <rPr>
        <sz val="11"/>
        <color rgb="FF000000"/>
        <rFont val="Arial"/>
        <family val="0"/>
        <charset val="1"/>
      </rPr>
      <t xml:space="preserve">(</t>
    </r>
    <r>
      <rPr>
        <sz val="11"/>
        <color rgb="FF000000"/>
        <rFont val="WenQuanYi Zen Hei"/>
        <family val="2"/>
      </rPr>
      <t xml:space="preserve">生活介護</t>
    </r>
    <r>
      <rPr>
        <sz val="11"/>
        <color rgb="FF000000"/>
        <rFont val="Arial"/>
        <family val="0"/>
        <charset val="1"/>
      </rPr>
      <t xml:space="preserve">)</t>
    </r>
    <r>
      <rPr>
        <sz val="11"/>
        <color rgb="FF000000"/>
        <rFont val="WenQuanYi Zen Hei"/>
        <family val="2"/>
      </rPr>
      <t xml:space="preserve">の介護給付費収入は非課税売上のため、設備投資に係る消費税は仕入税額控除できず、原則取得価額に算入</t>
    </r>
    <r>
      <rPr>
        <sz val="11"/>
        <color rgb="FF000000"/>
        <rFont val="Arial"/>
        <family val="0"/>
        <charset val="1"/>
      </rPr>
      <t xml:space="preserve">(</t>
    </r>
    <r>
      <rPr>
        <sz val="11"/>
        <color rgb="FF000000"/>
        <rFont val="WenQuanYi Zen Hei"/>
        <family val="2"/>
      </rPr>
      <t xml:space="preserve">税務は税理士に要確認</t>
    </r>
    <r>
      <rPr>
        <sz val="11"/>
        <color rgb="FF000000"/>
        <rFont val="Arial"/>
        <family val="0"/>
        <charset val="1"/>
      </rPr>
      <t xml:space="preserve">)</t>
    </r>
  </si>
  <si>
    <r>
      <rPr>
        <sz val="11"/>
        <color rgb="FF000000"/>
        <rFont val="WenQuanYi Zen Hei"/>
        <family val="2"/>
      </rPr>
      <t xml:space="preserve">運転資金</t>
    </r>
    <r>
      <rPr>
        <sz val="11"/>
        <color rgb="FF000000"/>
        <rFont val="Arial"/>
        <family val="0"/>
        <charset val="1"/>
      </rPr>
      <t xml:space="preserve">(Year1</t>
    </r>
    <r>
      <rPr>
        <sz val="11"/>
        <color rgb="FF000000"/>
        <rFont val="WenQuanYi Zen Hei"/>
        <family val="2"/>
      </rPr>
      <t xml:space="preserve">の資金繰り実測に基づく最低限必要額</t>
    </r>
    <r>
      <rPr>
        <sz val="11"/>
        <color rgb="FF000000"/>
        <rFont val="Arial"/>
        <family val="0"/>
        <charset val="1"/>
      </rPr>
      <t xml:space="preserve">)</t>
    </r>
  </si>
  <si>
    <r>
      <rPr>
        <sz val="11"/>
        <color rgb="FF000000"/>
        <rFont val="WenQuanYi Zen Hei"/>
        <family val="2"/>
      </rPr>
      <t xml:space="preserve">国保連への請求は翌月</t>
    </r>
    <r>
      <rPr>
        <sz val="11"/>
        <color rgb="FF000000"/>
        <rFont val="Arial"/>
        <family val="0"/>
        <charset val="1"/>
      </rPr>
      <t xml:space="preserve">10</t>
    </r>
    <r>
      <rPr>
        <sz val="11"/>
        <color rgb="FF000000"/>
        <rFont val="WenQuanYi Zen Hei"/>
        <family val="2"/>
      </rPr>
      <t xml:space="preserve">日締め、入金は翌々月中旬</t>
    </r>
    <r>
      <rPr>
        <sz val="11"/>
        <color rgb="FF000000"/>
        <rFont val="Arial"/>
        <family val="0"/>
        <charset val="1"/>
      </rPr>
      <t xml:space="preserve">(</t>
    </r>
    <r>
      <rPr>
        <sz val="11"/>
        <color rgb="FF000000"/>
        <rFont val="WenQuanYi Zen Hei"/>
        <family val="2"/>
      </rPr>
      <t xml:space="preserve">約</t>
    </r>
    <r>
      <rPr>
        <sz val="11"/>
        <color rgb="FF000000"/>
        <rFont val="Arial"/>
        <family val="0"/>
        <charset val="1"/>
      </rPr>
      <t xml:space="preserve">2.5</t>
    </r>
    <r>
      <rPr>
        <sz val="11"/>
        <color rgb="FF000000"/>
        <rFont val="WenQuanYi Zen Hei"/>
        <family val="2"/>
      </rPr>
      <t xml:space="preserve">か月ラグ</t>
    </r>
    <r>
      <rPr>
        <sz val="11"/>
        <color rgb="FF000000"/>
        <rFont val="Arial"/>
        <family val="0"/>
        <charset val="1"/>
      </rPr>
      <t xml:space="preserve">)</t>
    </r>
    <r>
      <rPr>
        <sz val="11"/>
        <color rgb="FF000000"/>
        <rFont val="WenQuanYi Zen Hei"/>
        <family val="2"/>
      </rPr>
      <t xml:space="preserve">。契約者数を月次で積み上げる</t>
    </r>
    <r>
      <rPr>
        <sz val="11"/>
        <color rgb="FF000000"/>
        <rFont val="Arial"/>
        <family val="0"/>
        <charset val="1"/>
      </rPr>
      <t xml:space="preserve">Year1</t>
    </r>
    <r>
      <rPr>
        <sz val="11"/>
        <color rgb="FF000000"/>
        <rFont val="WenQuanYi Zen Hei"/>
        <family val="2"/>
      </rPr>
      <t xml:space="preserve">の実際の資金繰りを『月次資金繰り</t>
    </r>
    <r>
      <rPr>
        <sz val="11"/>
        <color rgb="FF000000"/>
        <rFont val="Arial"/>
        <family val="0"/>
        <charset val="1"/>
      </rPr>
      <t xml:space="preserve">(Year1)</t>
    </r>
    <r>
      <rPr>
        <sz val="11"/>
        <color rgb="FF000000"/>
        <rFont val="WenQuanYi Zen Hei"/>
        <family val="2"/>
      </rPr>
      <t xml:space="preserve">』シートでシミュレーションし、その最低累積収支</t>
    </r>
    <r>
      <rPr>
        <sz val="11"/>
        <color rgb="FF000000"/>
        <rFont val="Arial"/>
        <family val="0"/>
        <charset val="1"/>
      </rPr>
      <t xml:space="preserve">(</t>
    </r>
    <r>
      <rPr>
        <sz val="11"/>
        <color rgb="FF000000"/>
        <rFont val="WenQuanYi Zen Hei"/>
        <family val="2"/>
      </rPr>
      <t xml:space="preserve">資金が最も枯渇する月の額</t>
    </r>
    <r>
      <rPr>
        <sz val="11"/>
        <color rgb="FF000000"/>
        <rFont val="Arial"/>
        <family val="0"/>
        <charset val="1"/>
      </rPr>
      <t xml:space="preserve">)</t>
    </r>
    <r>
      <rPr>
        <sz val="11"/>
        <color rgb="FF000000"/>
        <rFont val="WenQuanYi Zen Hei"/>
        <family val="2"/>
      </rPr>
      <t xml:space="preserve">を根拠とする。単純な『</t>
    </r>
    <r>
      <rPr>
        <sz val="11"/>
        <color rgb="FF000000"/>
        <rFont val="Arial"/>
        <family val="0"/>
        <charset val="1"/>
      </rPr>
      <t xml:space="preserve">6</t>
    </r>
    <r>
      <rPr>
        <sz val="11"/>
        <color rgb="FF000000"/>
        <rFont val="WenQuanYi Zen Hei"/>
        <family val="2"/>
      </rPr>
      <t xml:space="preserve">か月分』の目安より精度が高い。</t>
    </r>
  </si>
  <si>
    <r>
      <rPr>
        <b val="true"/>
        <sz val="11"/>
        <rFont val="WenQuanYi Zen Hei"/>
        <family val="2"/>
      </rPr>
      <t xml:space="preserve">初期投資合計</t>
    </r>
    <r>
      <rPr>
        <b val="true"/>
        <sz val="11"/>
        <rFont val="Arial"/>
        <family val="0"/>
        <charset val="1"/>
      </rPr>
      <t xml:space="preserve">(</t>
    </r>
    <r>
      <rPr>
        <b val="true"/>
        <sz val="11"/>
        <rFont val="WenQuanYi Zen Hei"/>
        <family val="2"/>
      </rPr>
      <t xml:space="preserve">運転資金込</t>
    </r>
    <r>
      <rPr>
        <b val="true"/>
        <sz val="11"/>
        <rFont val="Arial"/>
        <family val="0"/>
        <charset val="1"/>
      </rPr>
      <t xml:space="preserve">)</t>
    </r>
  </si>
  <si>
    <r>
      <rPr>
        <sz val="11"/>
        <color rgb="FF000000"/>
        <rFont val="Arial"/>
        <family val="0"/>
        <charset val="1"/>
      </rPr>
      <t xml:space="preserve">(</t>
    </r>
    <r>
      <rPr>
        <sz val="11"/>
        <color rgb="FF000000"/>
        <rFont val="WenQuanYi Zen Hei"/>
        <family val="2"/>
      </rPr>
      <t xml:space="preserve">内訳</t>
    </r>
    <r>
      <rPr>
        <sz val="11"/>
        <color rgb="FF000000"/>
        <rFont val="Arial"/>
        <family val="0"/>
        <charset val="1"/>
      </rPr>
      <t xml:space="preserve">)</t>
    </r>
    <r>
      <rPr>
        <sz val="11"/>
        <color rgb="FF000000"/>
        <rFont val="WenQuanYi Zen Hei"/>
        <family val="2"/>
      </rPr>
      <t xml:space="preserve">減価償却対象額 </t>
    </r>
    <r>
      <rPr>
        <sz val="11"/>
        <color rgb="FF000000"/>
        <rFont val="Arial"/>
        <family val="0"/>
        <charset val="1"/>
      </rPr>
      <t xml:space="preserve">= </t>
    </r>
    <r>
      <rPr>
        <sz val="11"/>
        <color rgb="FF000000"/>
        <rFont val="WenQuanYi Zen Hei"/>
        <family val="2"/>
      </rPr>
      <t xml:space="preserve">内装＋用途変更＋消防設備＋什器＋車両</t>
    </r>
  </si>
  <si>
    <r>
      <rPr>
        <b val="true"/>
        <sz val="14"/>
        <rFont val="WenQuanYi Zen Hei"/>
        <family val="2"/>
      </rPr>
      <t xml:space="preserve">前提条件</t>
    </r>
    <r>
      <rPr>
        <b val="true"/>
        <sz val="14"/>
        <rFont val="Arial"/>
        <family val="0"/>
        <charset val="1"/>
      </rPr>
      <t xml:space="preserve">(</t>
    </r>
    <r>
      <rPr>
        <b val="true"/>
        <sz val="14"/>
        <rFont val="WenQuanYi Zen Hei"/>
        <family val="2"/>
      </rPr>
      <t xml:space="preserve">青字セル＝入力／黄色背景＝要確認の重要仮定</t>
    </r>
    <r>
      <rPr>
        <b val="true"/>
        <sz val="14"/>
        <rFont val="Arial"/>
        <family val="0"/>
        <charset val="1"/>
      </rPr>
      <t xml:space="preserve">)</t>
    </r>
  </si>
  <si>
    <t xml:space="preserve">値</t>
  </si>
  <si>
    <t xml:space="preserve">単位・備考</t>
  </si>
  <si>
    <t xml:space="preserve">利用定員</t>
  </si>
  <si>
    <t xml:space="preserve">名</t>
  </si>
  <si>
    <r>
      <rPr>
        <sz val="11"/>
        <color rgb="FF000000"/>
        <rFont val="WenQuanYi Zen Hei"/>
        <family val="2"/>
      </rPr>
      <t xml:space="preserve">想定する平均障害支援区分</t>
    </r>
    <r>
      <rPr>
        <sz val="11"/>
        <color rgb="FF000000"/>
        <rFont val="Arial"/>
        <family val="0"/>
        <charset val="1"/>
      </rPr>
      <t xml:space="preserve">(2</t>
    </r>
    <r>
      <rPr>
        <sz val="11"/>
        <color rgb="FF000000"/>
        <rFont val="WenQuanYi Zen Hei"/>
        <family val="2"/>
      </rPr>
      <t xml:space="preserve">〜</t>
    </r>
    <r>
      <rPr>
        <sz val="11"/>
        <color rgb="FF000000"/>
        <rFont val="Arial"/>
        <family val="0"/>
        <charset val="1"/>
      </rPr>
      <t xml:space="preserve">6</t>
    </r>
    <r>
      <rPr>
        <sz val="11"/>
        <color rgb="FF000000"/>
        <rFont val="WenQuanYi Zen Hei"/>
        <family val="2"/>
      </rPr>
      <t xml:space="preserve">の整数</t>
    </r>
    <r>
      <rPr>
        <sz val="11"/>
        <color rgb="FF000000"/>
        <rFont val="Arial"/>
        <family val="0"/>
        <charset val="1"/>
      </rPr>
      <t xml:space="preserve">)</t>
    </r>
  </si>
  <si>
    <r>
      <rPr>
        <sz val="11"/>
        <color rgb="FF000000"/>
        <rFont val="WenQuanYi Zen Hei"/>
        <family val="2"/>
      </rPr>
      <t xml:space="preserve">『重度対応も積極的に受け入れる』という理念と収支の両立を図るため、区分</t>
    </r>
    <r>
      <rPr>
        <sz val="11"/>
        <color rgb="FF000000"/>
        <rFont val="Arial"/>
        <family val="0"/>
        <charset val="1"/>
      </rPr>
      <t xml:space="preserve">5(3:1</t>
    </r>
    <r>
      <rPr>
        <sz val="11"/>
        <color rgb="FF000000"/>
        <rFont val="WenQuanYi Zen Hei"/>
        <family val="2"/>
      </rPr>
      <t xml:space="preserve">配置</t>
    </r>
    <r>
      <rPr>
        <sz val="11"/>
        <color rgb="FF000000"/>
        <rFont val="Arial"/>
        <family val="0"/>
        <charset val="1"/>
      </rPr>
      <t xml:space="preserve">)</t>
    </r>
    <r>
      <rPr>
        <sz val="11"/>
        <color rgb="FF000000"/>
        <rFont val="WenQuanYi Zen Hei"/>
        <family val="2"/>
      </rPr>
      <t xml:space="preserve">を基本ケースとする。区分を変えると単位数・配置比率が自動で切り替わる。</t>
    </r>
  </si>
  <si>
    <r>
      <rPr>
        <sz val="11"/>
        <color rgb="FF000000"/>
        <rFont val="WenQuanYi Zen Hei"/>
        <family val="2"/>
      </rPr>
      <t xml:space="preserve">基本報酬単位数</t>
    </r>
    <r>
      <rPr>
        <sz val="11"/>
        <color rgb="FF000000"/>
        <rFont val="Arial"/>
        <family val="0"/>
        <charset val="1"/>
      </rPr>
      <t xml:space="preserve">(</t>
    </r>
    <r>
      <rPr>
        <sz val="11"/>
        <color rgb="FF000000"/>
        <rFont val="WenQuanYi Zen Hei"/>
        <family val="2"/>
      </rPr>
      <t xml:space="preserve">自動計算</t>
    </r>
    <r>
      <rPr>
        <sz val="11"/>
        <color rgb="FF000000"/>
        <rFont val="Arial"/>
        <family val="0"/>
        <charset val="1"/>
      </rPr>
      <t xml:space="preserve">)</t>
    </r>
  </si>
  <si>
    <r>
      <rPr>
        <sz val="11"/>
        <color rgb="FF000000"/>
        <rFont val="WenQuanYi Zen Hei"/>
        <family val="2"/>
      </rPr>
      <t xml:space="preserve">単位</t>
    </r>
    <r>
      <rPr>
        <sz val="11"/>
        <color rgb="FF000000"/>
        <rFont val="Arial"/>
        <family val="0"/>
        <charset val="1"/>
      </rPr>
      <t xml:space="preserve">/</t>
    </r>
    <r>
      <rPr>
        <sz val="11"/>
        <color rgb="FF000000"/>
        <rFont val="WenQuanYi Zen Hei"/>
        <family val="2"/>
      </rPr>
      <t xml:space="preserve">日</t>
    </r>
    <r>
      <rPr>
        <sz val="11"/>
        <color rgb="FF000000"/>
        <rFont val="Arial"/>
        <family val="0"/>
        <charset val="1"/>
      </rPr>
      <t xml:space="preserve">(7</t>
    </r>
    <r>
      <rPr>
        <sz val="11"/>
        <color rgb="FF000000"/>
        <rFont val="WenQuanYi Zen Hei"/>
        <family val="2"/>
      </rPr>
      <t xml:space="preserve">時間以上</t>
    </r>
    <r>
      <rPr>
        <sz val="11"/>
        <color rgb="FF000000"/>
        <rFont val="Arial"/>
        <family val="0"/>
        <charset val="1"/>
      </rPr>
      <t xml:space="preserve">8</t>
    </r>
    <r>
      <rPr>
        <sz val="11"/>
        <color rgb="FF000000"/>
        <rFont val="WenQuanYi Zen Hei"/>
        <family val="2"/>
      </rPr>
      <t xml:space="preserve">時間未満区分</t>
    </r>
    <r>
      <rPr>
        <sz val="11"/>
        <color rgb="FF000000"/>
        <rFont val="Arial"/>
        <family val="0"/>
        <charset val="1"/>
      </rPr>
      <t xml:space="preserve">)</t>
    </r>
  </si>
  <si>
    <r>
      <rPr>
        <sz val="11"/>
        <color rgb="FF000000"/>
        <rFont val="WenQuanYi Zen Hei"/>
        <family val="2"/>
      </rPr>
      <t xml:space="preserve">生活支援員等 配置比率</t>
    </r>
    <r>
      <rPr>
        <sz val="11"/>
        <color rgb="FF000000"/>
        <rFont val="Arial"/>
        <family val="0"/>
        <charset val="1"/>
      </rPr>
      <t xml:space="preserve">(</t>
    </r>
    <r>
      <rPr>
        <sz val="11"/>
        <color rgb="FF000000"/>
        <rFont val="WenQuanYi Zen Hei"/>
        <family val="2"/>
      </rPr>
      <t xml:space="preserve">自動計算</t>
    </r>
    <r>
      <rPr>
        <sz val="11"/>
        <color rgb="FF000000"/>
        <rFont val="Arial"/>
        <family val="0"/>
        <charset val="1"/>
      </rPr>
      <t xml:space="preserve">)</t>
    </r>
  </si>
  <si>
    <t xml:space="preserve">対利用者数</t>
  </si>
  <si>
    <r>
      <rPr>
        <sz val="11"/>
        <color rgb="FF000000"/>
        <rFont val="WenQuanYi Zen Hei"/>
        <family val="2"/>
      </rPr>
      <t xml:space="preserve">配置基準の分母</t>
    </r>
    <r>
      <rPr>
        <sz val="11"/>
        <color rgb="FF000000"/>
        <rFont val="Arial"/>
        <family val="0"/>
        <charset val="1"/>
      </rPr>
      <t xml:space="preserve">(</t>
    </r>
    <r>
      <rPr>
        <sz val="11"/>
        <color rgb="FF000000"/>
        <rFont val="WenQuanYi Zen Hei"/>
        <family val="2"/>
      </rPr>
      <t xml:space="preserve">新規指定時：定員</t>
    </r>
    <r>
      <rPr>
        <sz val="11"/>
        <color rgb="FF000000"/>
        <rFont val="Arial"/>
        <family val="0"/>
        <charset val="1"/>
      </rPr>
      <t xml:space="preserve">×90%)</t>
    </r>
  </si>
  <si>
    <r>
      <rPr>
        <sz val="11"/>
        <color rgb="FF000000"/>
        <rFont val="WenQuanYi Zen Hei"/>
        <family val="2"/>
      </rPr>
      <t xml:space="preserve">名。配置比率の分母は前年度平均利用者数が原則だが、新規指定時は実績がないため定員の</t>
    </r>
    <r>
      <rPr>
        <sz val="11"/>
        <color rgb="FF000000"/>
        <rFont val="Arial"/>
        <family val="0"/>
        <charset val="1"/>
      </rPr>
      <t xml:space="preserve">90%</t>
    </r>
    <r>
      <rPr>
        <sz val="11"/>
        <color rgb="FF000000"/>
        <rFont val="WenQuanYi Zen Hei"/>
        <family val="2"/>
      </rPr>
      <t xml:space="preserve">とみなす</t>
    </r>
  </si>
  <si>
    <r>
      <rPr>
        <sz val="11"/>
        <color rgb="FF000000"/>
        <rFont val="WenQuanYi Zen Hei"/>
        <family val="2"/>
      </rPr>
      <t xml:space="preserve">生活支援員等 必要人数</t>
    </r>
    <r>
      <rPr>
        <sz val="11"/>
        <color rgb="FF000000"/>
        <rFont val="Arial"/>
        <family val="0"/>
        <charset val="1"/>
      </rPr>
      <t xml:space="preserve">(</t>
    </r>
    <r>
      <rPr>
        <sz val="11"/>
        <color rgb="FF000000"/>
        <rFont val="WenQuanYi Zen Hei"/>
        <family val="2"/>
      </rPr>
      <t xml:space="preserve">常勤換算・自動計算</t>
    </r>
    <r>
      <rPr>
        <sz val="11"/>
        <color rgb="FF000000"/>
        <rFont val="Arial"/>
        <family val="0"/>
        <charset val="1"/>
      </rPr>
      <t xml:space="preserve">)</t>
    </r>
  </si>
  <si>
    <r>
      <rPr>
        <sz val="11"/>
        <color rgb="FF000000"/>
        <rFont val="WenQuanYi Zen Hei"/>
        <family val="2"/>
      </rPr>
      <t xml:space="preserve">名</t>
    </r>
    <r>
      <rPr>
        <sz val="11"/>
        <color rgb="FF000000"/>
        <rFont val="Arial"/>
        <family val="0"/>
        <charset val="1"/>
      </rPr>
      <t xml:space="preserve">(</t>
    </r>
    <r>
      <rPr>
        <sz val="11"/>
        <color rgb="FF000000"/>
        <rFont val="WenQuanYi Zen Hei"/>
        <family val="2"/>
      </rPr>
      <t xml:space="preserve">端数は非常勤の組み合わせで充当可</t>
    </r>
    <r>
      <rPr>
        <sz val="11"/>
        <color rgb="FF000000"/>
        <rFont val="Arial"/>
        <family val="0"/>
        <charset val="1"/>
      </rPr>
      <t xml:space="preserve">)</t>
    </r>
  </si>
  <si>
    <t xml:space="preserve">単位単価</t>
  </si>
  <si>
    <r>
      <rPr>
        <sz val="11"/>
        <color rgb="FF000000"/>
        <rFont val="WenQuanYi Zen Hei"/>
        <family val="2"/>
      </rPr>
      <t xml:space="preserve">円</t>
    </r>
    <r>
      <rPr>
        <sz val="11"/>
        <color rgb="FF000000"/>
        <rFont val="Arial"/>
        <family val="0"/>
        <charset val="1"/>
      </rPr>
      <t xml:space="preserve">/</t>
    </r>
    <r>
      <rPr>
        <sz val="11"/>
        <color rgb="FF000000"/>
        <rFont val="WenQuanYi Zen Hei"/>
        <family val="2"/>
      </rPr>
      <t xml:space="preserve">単位。広島市</t>
    </r>
    <r>
      <rPr>
        <sz val="11"/>
        <color rgb="FF000000"/>
        <rFont val="Arial"/>
        <family val="0"/>
        <charset val="1"/>
      </rPr>
      <t xml:space="preserve">5</t>
    </r>
    <r>
      <rPr>
        <sz val="11"/>
        <color rgb="FF000000"/>
        <rFont val="WenQuanYi Zen Hei"/>
        <family val="2"/>
      </rPr>
      <t xml:space="preserve">級地</t>
    </r>
    <r>
      <rPr>
        <sz val="11"/>
        <color rgb="FF000000"/>
        <rFont val="Arial"/>
        <family val="0"/>
        <charset val="1"/>
      </rPr>
      <t xml:space="preserve">(</t>
    </r>
    <r>
      <rPr>
        <sz val="11"/>
        <color rgb="FF000000"/>
        <rFont val="WenQuanYi Zen Hei"/>
        <family val="2"/>
      </rPr>
      <t xml:space="preserve">上乗せ</t>
    </r>
    <r>
      <rPr>
        <sz val="11"/>
        <color rgb="FF000000"/>
        <rFont val="Arial"/>
        <family val="0"/>
        <charset val="1"/>
      </rPr>
      <t xml:space="preserve">10%)×</t>
    </r>
    <r>
      <rPr>
        <sz val="11"/>
        <color rgb="FF000000"/>
        <rFont val="WenQuanYi Zen Hei"/>
        <family val="2"/>
      </rPr>
      <t xml:space="preserve">通所系サービスの人件費割合</t>
    </r>
    <r>
      <rPr>
        <sz val="11"/>
        <color rgb="FF000000"/>
        <rFont val="Arial"/>
        <family val="0"/>
        <charset val="1"/>
      </rPr>
      <t xml:space="preserve">(55%)=</t>
    </r>
    <r>
      <rPr>
        <sz val="11"/>
        <color rgb="FF000000"/>
        <rFont val="WenQuanYi Zen Hei"/>
        <family val="2"/>
      </rPr>
      <t xml:space="preserve">実質</t>
    </r>
    <r>
      <rPr>
        <sz val="11"/>
        <color rgb="FF000000"/>
        <rFont val="Arial"/>
        <family val="0"/>
        <charset val="1"/>
      </rPr>
      <t xml:space="preserve">5.5%</t>
    </r>
    <r>
      <rPr>
        <sz val="11"/>
        <color rgb="FF000000"/>
        <rFont val="WenQuanYi Zen Hei"/>
        <family val="2"/>
      </rPr>
      <t xml:space="preserve">上乗せの概算値</t>
    </r>
    <r>
      <rPr>
        <sz val="11"/>
        <color rgb="FF000000"/>
        <rFont val="Arial"/>
        <family val="0"/>
        <charset val="1"/>
      </rPr>
      <t xml:space="preserve">(</t>
    </r>
    <r>
      <rPr>
        <sz val="11"/>
        <color rgb="FF000000"/>
        <rFont val="WenQuanYi Zen Hei"/>
        <family val="2"/>
      </rPr>
      <t xml:space="preserve">改訂前は</t>
    </r>
    <r>
      <rPr>
        <sz val="11"/>
        <color rgb="FF000000"/>
        <rFont val="Arial"/>
        <family val="0"/>
        <charset val="1"/>
      </rPr>
      <t xml:space="preserve">45%=</t>
    </r>
    <r>
      <rPr>
        <sz val="11"/>
        <color rgb="FF000000"/>
        <rFont val="WenQuanYi Zen Hei"/>
        <family val="2"/>
      </rPr>
      <t xml:space="preserve">施設系の割合を誤用していたため</t>
    </r>
    <r>
      <rPr>
        <sz val="11"/>
        <color rgb="FF000000"/>
        <rFont val="Arial"/>
        <family val="0"/>
        <charset val="1"/>
      </rPr>
      <t xml:space="preserve">55%=</t>
    </r>
    <r>
      <rPr>
        <sz val="11"/>
        <color rgb="FF000000"/>
        <rFont val="WenQuanYi Zen Hei"/>
        <family val="2"/>
      </rPr>
      <t xml:space="preserve">通所系に是正</t>
    </r>
    <r>
      <rPr>
        <sz val="11"/>
        <color rgb="FF000000"/>
        <rFont val="Arial"/>
        <family val="0"/>
        <charset val="1"/>
      </rPr>
      <t xml:space="preserve">)</t>
    </r>
    <r>
      <rPr>
        <sz val="11"/>
        <color rgb="FF000000"/>
        <rFont val="WenQuanYi Zen Hei"/>
        <family val="2"/>
      </rPr>
      <t xml:space="preserve">。正式な地域区分・人件費割合は広島市提示の単価表で必ず確認。</t>
    </r>
  </si>
  <si>
    <r>
      <rPr>
        <sz val="11"/>
        <color rgb="FF000000"/>
        <rFont val="WenQuanYi Zen Hei"/>
        <family val="2"/>
      </rPr>
      <t xml:space="preserve">送迎加算</t>
    </r>
    <r>
      <rPr>
        <sz val="11"/>
        <color rgb="FF000000"/>
        <rFont val="Arial"/>
        <family val="0"/>
        <charset val="1"/>
      </rPr>
      <t xml:space="preserve">(Ⅰ)</t>
    </r>
    <r>
      <rPr>
        <sz val="11"/>
        <color rgb="FF000000"/>
        <rFont val="WenQuanYi Zen Hei"/>
        <family val="2"/>
      </rPr>
      <t xml:space="preserve">単位数</t>
    </r>
    <r>
      <rPr>
        <sz val="11"/>
        <color rgb="FF000000"/>
        <rFont val="Arial"/>
        <family val="0"/>
        <charset val="1"/>
      </rPr>
      <t xml:space="preserve">(</t>
    </r>
    <r>
      <rPr>
        <sz val="11"/>
        <color rgb="FF000000"/>
        <rFont val="WenQuanYi Zen Hei"/>
        <family val="2"/>
      </rPr>
      <t xml:space="preserve">片道</t>
    </r>
    <r>
      <rPr>
        <sz val="11"/>
        <color rgb="FF000000"/>
        <rFont val="Arial"/>
        <family val="0"/>
        <charset val="1"/>
      </rPr>
      <t xml:space="preserve">)</t>
    </r>
  </si>
  <si>
    <r>
      <rPr>
        <sz val="11"/>
        <color rgb="FF000000"/>
        <rFont val="WenQuanYi Zen Hei"/>
        <family val="2"/>
      </rPr>
      <t xml:space="preserve">単位</t>
    </r>
    <r>
      <rPr>
        <sz val="11"/>
        <color rgb="FF000000"/>
        <rFont val="Arial"/>
        <family val="0"/>
        <charset val="1"/>
      </rPr>
      <t xml:space="preserve">/</t>
    </r>
    <r>
      <rPr>
        <sz val="11"/>
        <color rgb="FF000000"/>
        <rFont val="WenQuanYi Zen Hei"/>
        <family val="2"/>
      </rPr>
      <t xml:space="preserve">回。要件：①</t>
    </r>
    <r>
      <rPr>
        <sz val="11"/>
        <color rgb="FF000000"/>
        <rFont val="Arial"/>
        <family val="0"/>
        <charset val="1"/>
      </rPr>
      <t xml:space="preserve">1</t>
    </r>
    <r>
      <rPr>
        <sz val="11"/>
        <color rgb="FF000000"/>
        <rFont val="WenQuanYi Zen Hei"/>
        <family val="2"/>
      </rPr>
      <t xml:space="preserve">回の送迎で平均定員の</t>
    </r>
    <r>
      <rPr>
        <sz val="11"/>
        <color rgb="FF000000"/>
        <rFont val="Arial"/>
        <family val="0"/>
        <charset val="1"/>
      </rPr>
      <t xml:space="preserve">50%</t>
    </r>
    <r>
      <rPr>
        <sz val="11"/>
        <color rgb="FF000000"/>
        <rFont val="WenQuanYi Zen Hei"/>
        <family val="2"/>
      </rPr>
      <t xml:space="preserve">以上</t>
    </r>
    <r>
      <rPr>
        <sz val="11"/>
        <color rgb="FF000000"/>
        <rFont val="Arial"/>
        <family val="0"/>
        <charset val="1"/>
      </rPr>
      <t xml:space="preserve">(</t>
    </r>
    <r>
      <rPr>
        <sz val="11"/>
        <color rgb="FF000000"/>
        <rFont val="WenQuanYi Zen Hei"/>
        <family val="2"/>
      </rPr>
      <t xml:space="preserve">定員</t>
    </r>
    <r>
      <rPr>
        <sz val="11"/>
        <color rgb="FF000000"/>
        <rFont val="Arial"/>
        <family val="0"/>
        <charset val="1"/>
      </rPr>
      <t xml:space="preserve">20</t>
    </r>
    <r>
      <rPr>
        <sz val="11"/>
        <color rgb="FF000000"/>
        <rFont val="WenQuanYi Zen Hei"/>
        <family val="2"/>
      </rPr>
      <t xml:space="preserve">名未満の事業所</t>
    </r>
    <r>
      <rPr>
        <sz val="11"/>
        <color rgb="FF000000"/>
        <rFont val="Arial"/>
        <family val="0"/>
        <charset val="1"/>
      </rPr>
      <t xml:space="preserve">)</t>
    </r>
    <r>
      <rPr>
        <sz val="11"/>
        <color rgb="FF000000"/>
        <rFont val="WenQuanYi Zen Hei"/>
        <family val="2"/>
      </rPr>
      <t xml:space="preserve">が利用、②週</t>
    </r>
    <r>
      <rPr>
        <sz val="11"/>
        <color rgb="FF000000"/>
        <rFont val="Arial"/>
        <family val="0"/>
        <charset val="1"/>
      </rPr>
      <t xml:space="preserve">3</t>
    </r>
    <r>
      <rPr>
        <sz val="11"/>
        <color rgb="FF000000"/>
        <rFont val="WenQuanYi Zen Hei"/>
        <family val="2"/>
      </rPr>
      <t xml:space="preserve">回以上実施</t>
    </r>
  </si>
  <si>
    <r>
      <rPr>
        <sz val="11"/>
        <color rgb="FF000000"/>
        <rFont val="WenQuanYi Zen Hei"/>
        <family val="2"/>
      </rPr>
      <t xml:space="preserve">送迎重度加算 適用</t>
    </r>
    <r>
      <rPr>
        <sz val="11"/>
        <color rgb="FF000000"/>
        <rFont val="Arial"/>
        <family val="0"/>
        <charset val="1"/>
      </rPr>
      <t xml:space="preserve">(1=</t>
    </r>
    <r>
      <rPr>
        <sz val="11"/>
        <color rgb="FF000000"/>
        <rFont val="WenQuanYi Zen Hei"/>
        <family val="2"/>
      </rPr>
      <t xml:space="preserve">適用</t>
    </r>
    <r>
      <rPr>
        <sz val="11"/>
        <color rgb="FF000000"/>
        <rFont val="Arial"/>
        <family val="0"/>
        <charset val="1"/>
      </rPr>
      <t xml:space="preserve">/0=</t>
    </r>
    <r>
      <rPr>
        <sz val="11"/>
        <color rgb="FF000000"/>
        <rFont val="WenQuanYi Zen Hei"/>
        <family val="2"/>
      </rPr>
      <t xml:space="preserve">非適用</t>
    </r>
    <r>
      <rPr>
        <sz val="11"/>
        <color rgb="FF000000"/>
        <rFont val="Arial"/>
        <family val="0"/>
        <charset val="1"/>
      </rPr>
      <t xml:space="preserve">)</t>
    </r>
  </si>
  <si>
    <r>
      <rPr>
        <sz val="11"/>
        <color rgb="FF000000"/>
        <rFont val="WenQuanYi Zen Hei"/>
        <family val="2"/>
      </rPr>
      <t xml:space="preserve">送迎利用者のうち区分</t>
    </r>
    <r>
      <rPr>
        <sz val="11"/>
        <color rgb="FF000000"/>
        <rFont val="Arial"/>
        <family val="0"/>
        <charset val="1"/>
      </rPr>
      <t xml:space="preserve">5</t>
    </r>
    <r>
      <rPr>
        <sz val="11"/>
        <color rgb="FF000000"/>
        <rFont val="WenQuanYi Zen Hei"/>
        <family val="2"/>
      </rPr>
      <t xml:space="preserve">・</t>
    </r>
    <r>
      <rPr>
        <sz val="11"/>
        <color rgb="FF000000"/>
        <rFont val="Arial"/>
        <family val="0"/>
        <charset val="1"/>
      </rPr>
      <t xml:space="preserve">6</t>
    </r>
    <r>
      <rPr>
        <sz val="11"/>
        <color rgb="FF000000"/>
        <rFont val="WenQuanYi Zen Hei"/>
        <family val="2"/>
      </rPr>
      <t xml:space="preserve">該当者が</t>
    </r>
    <r>
      <rPr>
        <sz val="11"/>
        <color rgb="FF000000"/>
        <rFont val="Arial"/>
        <family val="0"/>
        <charset val="1"/>
      </rPr>
      <t xml:space="preserve">60%</t>
    </r>
    <r>
      <rPr>
        <sz val="11"/>
        <color rgb="FF000000"/>
        <rFont val="WenQuanYi Zen Hei"/>
        <family val="2"/>
      </rPr>
      <t xml:space="preserve">以上の場合、片道</t>
    </r>
    <r>
      <rPr>
        <sz val="11"/>
        <color rgb="FF000000"/>
        <rFont val="Arial"/>
        <family val="0"/>
        <charset val="1"/>
      </rPr>
      <t xml:space="preserve">+28</t>
    </r>
    <r>
      <rPr>
        <sz val="11"/>
        <color rgb="FF000000"/>
        <rFont val="WenQuanYi Zen Hei"/>
        <family val="2"/>
      </rPr>
      <t xml:space="preserve">単位。本計画は区分</t>
    </r>
    <r>
      <rPr>
        <sz val="11"/>
        <color rgb="FF000000"/>
        <rFont val="Arial"/>
        <family val="0"/>
        <charset val="1"/>
      </rPr>
      <t xml:space="preserve">5</t>
    </r>
    <r>
      <rPr>
        <sz val="11"/>
        <color rgb="FF000000"/>
        <rFont val="WenQuanYi Zen Hei"/>
        <family val="2"/>
      </rPr>
      <t xml:space="preserve">中心のため適用を想定</t>
    </r>
    <r>
      <rPr>
        <sz val="11"/>
        <color rgb="FF000000"/>
        <rFont val="Arial"/>
        <family val="0"/>
        <charset val="1"/>
      </rPr>
      <t xml:space="preserve">(</t>
    </r>
    <r>
      <rPr>
        <sz val="11"/>
        <color rgb="FF000000"/>
        <rFont val="WenQuanYi Zen Hei"/>
        <family val="2"/>
      </rPr>
      <t xml:space="preserve">要件充足を要確認</t>
    </r>
    <r>
      <rPr>
        <sz val="11"/>
        <color rgb="FF000000"/>
        <rFont val="Arial"/>
        <family val="0"/>
        <charset val="1"/>
      </rPr>
      <t xml:space="preserve">)</t>
    </r>
  </si>
  <si>
    <r>
      <rPr>
        <sz val="11"/>
        <color rgb="FF000000"/>
        <rFont val="WenQuanYi Zen Hei"/>
        <family val="2"/>
      </rPr>
      <t xml:space="preserve">送迎重度加算単位数</t>
    </r>
    <r>
      <rPr>
        <sz val="11"/>
        <color rgb="FF000000"/>
        <rFont val="Arial"/>
        <family val="0"/>
        <charset val="1"/>
      </rPr>
      <t xml:space="preserve">(</t>
    </r>
    <r>
      <rPr>
        <sz val="11"/>
        <color rgb="FF000000"/>
        <rFont val="WenQuanYi Zen Hei"/>
        <family val="2"/>
      </rPr>
      <t xml:space="preserve">片道</t>
    </r>
    <r>
      <rPr>
        <sz val="11"/>
        <color rgb="FF000000"/>
        <rFont val="Arial"/>
        <family val="0"/>
        <charset val="1"/>
      </rPr>
      <t xml:space="preserve">)</t>
    </r>
  </si>
  <si>
    <r>
      <rPr>
        <sz val="11"/>
        <color rgb="FF000000"/>
        <rFont val="WenQuanYi Zen Hei"/>
        <family val="2"/>
      </rPr>
      <t xml:space="preserve">単位</t>
    </r>
    <r>
      <rPr>
        <sz val="11"/>
        <color rgb="FF000000"/>
        <rFont val="Arial"/>
        <family val="0"/>
        <charset val="1"/>
      </rPr>
      <t xml:space="preserve">/</t>
    </r>
    <r>
      <rPr>
        <sz val="11"/>
        <color rgb="FF000000"/>
        <rFont val="WenQuanYi Zen Hei"/>
        <family val="2"/>
      </rPr>
      <t xml:space="preserve">回</t>
    </r>
    <r>
      <rPr>
        <sz val="11"/>
        <color rgb="FF000000"/>
        <rFont val="Arial"/>
        <family val="0"/>
        <charset val="1"/>
      </rPr>
      <t xml:space="preserve">(</t>
    </r>
    <r>
      <rPr>
        <sz val="11"/>
        <color rgb="FF000000"/>
        <rFont val="WenQuanYi Zen Hei"/>
        <family val="2"/>
      </rPr>
      <t xml:space="preserve">上記要件を満たす場合</t>
    </r>
    <r>
      <rPr>
        <sz val="11"/>
        <color rgb="FF000000"/>
        <rFont val="Arial"/>
        <family val="0"/>
        <charset val="1"/>
      </rPr>
      <t xml:space="preserve">)</t>
    </r>
  </si>
  <si>
    <t xml:space="preserve">送迎利用率</t>
  </si>
  <si>
    <r>
      <rPr>
        <sz val="11"/>
        <color rgb="FF000000"/>
        <rFont val="Arial"/>
        <family val="0"/>
        <charset val="1"/>
      </rPr>
      <t xml:space="preserve">%(</t>
    </r>
    <r>
      <rPr>
        <sz val="11"/>
        <color rgb="FF000000"/>
        <rFont val="WenQuanYi Zen Hei"/>
        <family val="2"/>
      </rPr>
      <t xml:space="preserve">送迎を利用する利用者の割合</t>
    </r>
    <r>
      <rPr>
        <sz val="11"/>
        <color rgb="FF000000"/>
        <rFont val="Arial"/>
        <family val="0"/>
        <charset val="1"/>
      </rPr>
      <t xml:space="preserve">)</t>
    </r>
  </si>
  <si>
    <r>
      <rPr>
        <sz val="11"/>
        <color rgb="FF000000"/>
        <rFont val="WenQuanYi Zen Hei"/>
        <family val="2"/>
      </rPr>
      <t xml:space="preserve">処遇改善加算</t>
    </r>
    <r>
      <rPr>
        <sz val="11"/>
        <color rgb="FF000000"/>
        <rFont val="Arial"/>
        <family val="0"/>
        <charset val="1"/>
      </rPr>
      <t xml:space="preserve">(</t>
    </r>
    <r>
      <rPr>
        <sz val="11"/>
        <color rgb="FF000000"/>
        <rFont val="WenQuanYi Zen Hei"/>
        <family val="2"/>
      </rPr>
      <t xml:space="preserve">生活介護 フル取得ケース</t>
    </r>
    <r>
      <rPr>
        <sz val="11"/>
        <color rgb="FF000000"/>
        <rFont val="Arial"/>
        <family val="0"/>
        <charset val="1"/>
      </rPr>
      <t xml:space="preserve">)</t>
    </r>
  </si>
  <si>
    <r>
      <rPr>
        <sz val="11"/>
        <color rgb="FF000000"/>
        <rFont val="WenQuanYi Zen Hei"/>
        <family val="2"/>
      </rPr>
      <t xml:space="preserve">基本報酬に対する割合。旧制度</t>
    </r>
    <r>
      <rPr>
        <sz val="11"/>
        <color rgb="FF000000"/>
        <rFont val="Arial"/>
        <family val="0"/>
        <charset val="1"/>
      </rPr>
      <t xml:space="preserve">(</t>
    </r>
    <r>
      <rPr>
        <sz val="11"/>
        <color rgb="FF000000"/>
        <rFont val="WenQuanYi Zen Hei"/>
        <family val="2"/>
      </rPr>
      <t xml:space="preserve">〜</t>
    </r>
    <r>
      <rPr>
        <sz val="11"/>
        <color rgb="FF000000"/>
        <rFont val="Arial"/>
        <family val="0"/>
        <charset val="1"/>
      </rPr>
      <t xml:space="preserve">R6.5)</t>
    </r>
    <r>
      <rPr>
        <sz val="11"/>
        <color rgb="FF000000"/>
        <rFont val="WenQuanYi Zen Hei"/>
        <family val="2"/>
      </rPr>
      <t xml:space="preserve">の生活介護 加算Ⅰ</t>
    </r>
    <r>
      <rPr>
        <sz val="11"/>
        <color rgb="FF000000"/>
        <rFont val="Arial"/>
        <family val="0"/>
        <charset val="1"/>
      </rPr>
      <t xml:space="preserve">(4.4%)</t>
    </r>
    <r>
      <rPr>
        <sz val="11"/>
        <color rgb="FF000000"/>
        <rFont val="WenQuanYi Zen Hei"/>
        <family val="2"/>
      </rPr>
      <t xml:space="preserve">＋特定処遇改善加算Ⅰ</t>
    </r>
    <r>
      <rPr>
        <sz val="11"/>
        <color rgb="FF000000"/>
        <rFont val="Arial"/>
        <family val="0"/>
        <charset val="1"/>
      </rPr>
      <t xml:space="preserve">(1.4%)</t>
    </r>
    <r>
      <rPr>
        <sz val="11"/>
        <color rgb="FF000000"/>
        <rFont val="WenQuanYi Zen Hei"/>
        <family val="2"/>
      </rPr>
      <t xml:space="preserve">＋ベースアップ等支援加算</t>
    </r>
    <r>
      <rPr>
        <sz val="11"/>
        <color rgb="FF000000"/>
        <rFont val="Arial"/>
        <family val="0"/>
        <charset val="1"/>
      </rPr>
      <t xml:space="preserve">(2.6%)</t>
    </r>
    <r>
      <rPr>
        <sz val="11"/>
        <color rgb="FF000000"/>
        <rFont val="WenQuanYi Zen Hei"/>
        <family val="2"/>
      </rPr>
      <t xml:space="preserve">を全て満額取得した場合の合計値。令和</t>
    </r>
    <r>
      <rPr>
        <sz val="11"/>
        <color rgb="FF000000"/>
        <rFont val="Arial"/>
        <family val="0"/>
        <charset val="1"/>
      </rPr>
      <t xml:space="preserve">6</t>
    </r>
    <r>
      <rPr>
        <sz val="11"/>
        <color rgb="FF000000"/>
        <rFont val="WenQuanYi Zen Hei"/>
        <family val="2"/>
      </rPr>
      <t xml:space="preserve">年</t>
    </r>
    <r>
      <rPr>
        <sz val="11"/>
        <color rgb="FF000000"/>
        <rFont val="Arial"/>
        <family val="0"/>
        <charset val="1"/>
      </rPr>
      <t xml:space="preserve">6</t>
    </r>
    <r>
      <rPr>
        <sz val="11"/>
        <color rgb="FF000000"/>
        <rFont val="WenQuanYi Zen Hei"/>
        <family val="2"/>
      </rPr>
      <t xml:space="preserve">月に一本化された新加算では加算率がさらに引き上げられているとされるため、この</t>
    </r>
    <r>
      <rPr>
        <sz val="11"/>
        <color rgb="FF000000"/>
        <rFont val="Arial"/>
        <family val="0"/>
        <charset val="1"/>
      </rPr>
      <t xml:space="preserve">8.4%</t>
    </r>
    <r>
      <rPr>
        <sz val="11"/>
        <color rgb="FF000000"/>
        <rFont val="WenQuanYi Zen Hei"/>
        <family val="2"/>
      </rPr>
      <t xml:space="preserve">は保守的な下限目安。要件</t>
    </r>
    <r>
      <rPr>
        <sz val="11"/>
        <color rgb="FF000000"/>
        <rFont val="Arial"/>
        <family val="0"/>
        <charset val="1"/>
      </rPr>
      <t xml:space="preserve">(</t>
    </r>
    <r>
      <rPr>
        <sz val="11"/>
        <color rgb="FF000000"/>
        <rFont val="WenQuanYi Zen Hei"/>
        <family val="2"/>
      </rPr>
      <t xml:space="preserve">キャリアパス要件Ⅰ〜Ⅲ、月額賃金改善要件、職場環境等要件</t>
    </r>
    <r>
      <rPr>
        <sz val="11"/>
        <color rgb="FF000000"/>
        <rFont val="Arial"/>
        <family val="0"/>
        <charset val="1"/>
      </rPr>
      <t xml:space="preserve">)</t>
    </r>
    <r>
      <rPr>
        <sz val="11"/>
        <color rgb="FF000000"/>
        <rFont val="WenQuanYi Zen Hei"/>
        <family val="2"/>
      </rPr>
      <t xml:space="preserve">を満たす賃金制度・研修体系の整備が前提。加算額は全額を職員の賃金改善に充てる義務があるため、収支計画では同額を人件費側にも計上し損益に中立化している。</t>
    </r>
  </si>
  <si>
    <r>
      <rPr>
        <sz val="11"/>
        <color rgb="FF000000"/>
        <rFont val="WenQuanYi Zen Hei"/>
        <family val="2"/>
      </rPr>
      <t xml:space="preserve">福祉専門職員配置等加算単位数</t>
    </r>
    <r>
      <rPr>
        <sz val="11"/>
        <color rgb="FF000000"/>
        <rFont val="Arial"/>
        <family val="0"/>
        <charset val="1"/>
      </rPr>
      <t xml:space="preserve">(Ⅰ+Ⅲ</t>
    </r>
    <r>
      <rPr>
        <sz val="11"/>
        <color rgb="FF000000"/>
        <rFont val="WenQuanYi Zen Hei"/>
        <family val="2"/>
      </rPr>
      <t xml:space="preserve">併給</t>
    </r>
    <r>
      <rPr>
        <sz val="11"/>
        <color rgb="FF000000"/>
        <rFont val="Arial"/>
        <family val="0"/>
        <charset val="1"/>
      </rPr>
      <t xml:space="preserve">)</t>
    </r>
  </si>
  <si>
    <r>
      <rPr>
        <sz val="11"/>
        <color rgb="FF000000"/>
        <rFont val="WenQuanYi Zen Hei"/>
        <family val="2"/>
      </rPr>
      <t xml:space="preserve">単位</t>
    </r>
    <r>
      <rPr>
        <sz val="11"/>
        <color rgb="FF000000"/>
        <rFont val="Arial"/>
        <family val="0"/>
        <charset val="1"/>
      </rPr>
      <t xml:space="preserve">/</t>
    </r>
    <r>
      <rPr>
        <sz val="11"/>
        <color rgb="FF000000"/>
        <rFont val="WenQuanYi Zen Hei"/>
        <family val="2"/>
      </rPr>
      <t xml:space="preserve">日。生活支援員等のうち社会福祉士・介護福祉士・精神保健福祉士・公認心理師の有資格者が</t>
    </r>
    <r>
      <rPr>
        <sz val="11"/>
        <color rgb="FF000000"/>
        <rFont val="Arial"/>
        <family val="0"/>
        <charset val="1"/>
      </rPr>
      <t xml:space="preserve">35%</t>
    </r>
    <r>
      <rPr>
        <sz val="11"/>
        <color rgb="FF000000"/>
        <rFont val="WenQuanYi Zen Hei"/>
        <family val="2"/>
      </rPr>
      <t xml:space="preserve">以上</t>
    </r>
    <r>
      <rPr>
        <sz val="11"/>
        <color rgb="FF000000"/>
        <rFont val="Arial"/>
        <family val="0"/>
        <charset val="1"/>
      </rPr>
      <t xml:space="preserve">(Ⅰ:15</t>
    </r>
    <r>
      <rPr>
        <sz val="11"/>
        <color rgb="FF000000"/>
        <rFont val="WenQuanYi Zen Hei"/>
        <family val="2"/>
      </rPr>
      <t xml:space="preserve">単位</t>
    </r>
    <r>
      <rPr>
        <sz val="11"/>
        <color rgb="FF000000"/>
        <rFont val="Arial"/>
        <family val="0"/>
        <charset val="1"/>
      </rPr>
      <t xml:space="preserve">)</t>
    </r>
    <r>
      <rPr>
        <sz val="11"/>
        <color rgb="FF000000"/>
        <rFont val="WenQuanYi Zen Hei"/>
        <family val="2"/>
      </rPr>
      <t xml:space="preserve">、かつ常勤</t>
    </r>
    <r>
      <rPr>
        <sz val="11"/>
        <color rgb="FF000000"/>
        <rFont val="Arial"/>
        <family val="0"/>
        <charset val="1"/>
      </rPr>
      <t xml:space="preserve">75%</t>
    </r>
    <r>
      <rPr>
        <sz val="11"/>
        <color rgb="FF000000"/>
        <rFont val="WenQuanYi Zen Hei"/>
        <family val="2"/>
      </rPr>
      <t xml:space="preserve">以上または常勤で</t>
    </r>
    <r>
      <rPr>
        <sz val="11"/>
        <color rgb="FF000000"/>
        <rFont val="Arial"/>
        <family val="0"/>
        <charset val="1"/>
      </rPr>
      <t xml:space="preserve">3</t>
    </r>
    <r>
      <rPr>
        <sz val="11"/>
        <color rgb="FF000000"/>
        <rFont val="WenQuanYi Zen Hei"/>
        <family val="2"/>
      </rPr>
      <t xml:space="preserve">年以上勤続者</t>
    </r>
    <r>
      <rPr>
        <sz val="11"/>
        <color rgb="FF000000"/>
        <rFont val="Arial"/>
        <family val="0"/>
        <charset val="1"/>
      </rPr>
      <t xml:space="preserve">30%</t>
    </r>
    <r>
      <rPr>
        <sz val="11"/>
        <color rgb="FF000000"/>
        <rFont val="WenQuanYi Zen Hei"/>
        <family val="2"/>
      </rPr>
      <t xml:space="preserve">以上</t>
    </r>
    <r>
      <rPr>
        <sz val="11"/>
        <color rgb="FF000000"/>
        <rFont val="Arial"/>
        <family val="0"/>
        <charset val="1"/>
      </rPr>
      <t xml:space="preserve">(Ⅲ:6</t>
    </r>
    <r>
      <rPr>
        <sz val="11"/>
        <color rgb="FF000000"/>
        <rFont val="WenQuanYi Zen Hei"/>
        <family val="2"/>
      </rPr>
      <t xml:space="preserve">単位</t>
    </r>
    <r>
      <rPr>
        <sz val="11"/>
        <color rgb="FF000000"/>
        <rFont val="Arial"/>
        <family val="0"/>
        <charset val="1"/>
      </rPr>
      <t xml:space="preserve">)</t>
    </r>
    <r>
      <rPr>
        <sz val="11"/>
        <color rgb="FF000000"/>
        <rFont val="WenQuanYi Zen Hei"/>
        <family val="2"/>
      </rPr>
      <t xml:space="preserve">を満たす場合。生活介護はⅠ</t>
    </r>
    <r>
      <rPr>
        <sz val="11"/>
        <color rgb="FF000000"/>
        <rFont val="Arial"/>
        <family val="0"/>
        <charset val="1"/>
      </rPr>
      <t xml:space="preserve">(</t>
    </r>
    <r>
      <rPr>
        <sz val="11"/>
        <color rgb="FF000000"/>
        <rFont val="WenQuanYi Zen Hei"/>
        <family val="2"/>
      </rPr>
      <t xml:space="preserve">またはⅡ</t>
    </r>
    <r>
      <rPr>
        <sz val="11"/>
        <color rgb="FF000000"/>
        <rFont val="Arial"/>
        <family val="0"/>
        <charset val="1"/>
      </rPr>
      <t xml:space="preserve">)</t>
    </r>
    <r>
      <rPr>
        <sz val="11"/>
        <color rgb="FF000000"/>
        <rFont val="WenQuanYi Zen Hei"/>
        <family val="2"/>
      </rPr>
      <t xml:space="preserve">とⅢの併給が可能。追加人件費なしで採用方針の工夫のみで取得可能なため、確実性の高い加算として基本ケースに算入。</t>
    </r>
  </si>
  <si>
    <r>
      <rPr>
        <sz val="11"/>
        <color rgb="FF000000"/>
        <rFont val="WenQuanYi Zen Hei"/>
        <family val="2"/>
      </rPr>
      <t xml:space="preserve">入浴実施率</t>
    </r>
    <r>
      <rPr>
        <sz val="11"/>
        <color rgb="FF000000"/>
        <rFont val="Arial"/>
        <family val="0"/>
        <charset val="1"/>
      </rPr>
      <t xml:space="preserve">(</t>
    </r>
    <r>
      <rPr>
        <sz val="11"/>
        <color rgb="FF000000"/>
        <rFont val="WenQuanYi Zen Hei"/>
        <family val="2"/>
      </rPr>
      <t xml:space="preserve">希望者の割合</t>
    </r>
    <r>
      <rPr>
        <sz val="11"/>
        <color rgb="FF000000"/>
        <rFont val="Arial"/>
        <family val="0"/>
        <charset val="1"/>
      </rPr>
      <t xml:space="preserve">)</t>
    </r>
  </si>
  <si>
    <r>
      <rPr>
        <sz val="11"/>
        <color rgb="FF000000"/>
        <rFont val="Arial"/>
        <family val="0"/>
        <charset val="1"/>
      </rPr>
      <t xml:space="preserve">%</t>
    </r>
    <r>
      <rPr>
        <sz val="11"/>
        <color rgb="FF000000"/>
        <rFont val="WenQuanYi Zen Hei"/>
        <family val="2"/>
      </rPr>
      <t xml:space="preserve">。入浴は希望者のみ週</t>
    </r>
    <r>
      <rPr>
        <sz val="11"/>
        <color rgb="FF000000"/>
        <rFont val="Arial"/>
        <family val="0"/>
        <charset val="1"/>
      </rPr>
      <t xml:space="preserve">2</t>
    </r>
    <r>
      <rPr>
        <sz val="11"/>
        <color rgb="FF000000"/>
        <rFont val="WenQuanYi Zen Hei"/>
        <family val="2"/>
      </rPr>
      <t xml:space="preserve">回を基本とする方針</t>
    </r>
    <r>
      <rPr>
        <sz val="11"/>
        <color rgb="FF000000"/>
        <rFont val="Arial"/>
        <family val="0"/>
        <charset val="1"/>
      </rPr>
      <t xml:space="preserve">(</t>
    </r>
    <r>
      <rPr>
        <sz val="11"/>
        <color rgb="FF000000"/>
        <rFont val="WenQuanYi Zen Hei"/>
        <family val="2"/>
      </rPr>
      <t xml:space="preserve">第</t>
    </r>
    <r>
      <rPr>
        <sz val="11"/>
        <color rgb="FF000000"/>
        <rFont val="Arial"/>
        <family val="0"/>
        <charset val="1"/>
      </rPr>
      <t xml:space="preserve">3</t>
    </r>
    <r>
      <rPr>
        <sz val="11"/>
        <color rgb="FF000000"/>
        <rFont val="WenQuanYi Zen Hei"/>
        <family val="2"/>
      </rPr>
      <t xml:space="preserve">章</t>
    </r>
    <r>
      <rPr>
        <sz val="11"/>
        <color rgb="FF000000"/>
        <rFont val="Arial"/>
        <family val="0"/>
        <charset val="1"/>
      </rPr>
      <t xml:space="preserve">)</t>
    </r>
  </si>
  <si>
    <r>
      <rPr>
        <sz val="11"/>
        <color rgb="FF000000"/>
        <rFont val="WenQuanYi Zen Hei"/>
        <family val="2"/>
      </rPr>
      <t xml:space="preserve">入浴介助加算 実施回数</t>
    </r>
    <r>
      <rPr>
        <sz val="11"/>
        <color rgb="FF000000"/>
        <rFont val="Arial"/>
        <family val="0"/>
        <charset val="1"/>
      </rPr>
      <t xml:space="preserve">/</t>
    </r>
    <r>
      <rPr>
        <sz val="11"/>
        <color rgb="FF000000"/>
        <rFont val="WenQuanYi Zen Hei"/>
        <family val="2"/>
      </rPr>
      <t xml:space="preserve">週</t>
    </r>
  </si>
  <si>
    <t xml:space="preserve">回</t>
  </si>
  <si>
    <t xml:space="preserve">入浴介助加算単位数</t>
  </si>
  <si>
    <r>
      <rPr>
        <sz val="11"/>
        <color rgb="FF000000"/>
        <rFont val="WenQuanYi Zen Hei"/>
        <family val="2"/>
      </rPr>
      <t xml:space="preserve">単位</t>
    </r>
    <r>
      <rPr>
        <sz val="11"/>
        <color rgb="FF000000"/>
        <rFont val="Arial"/>
        <family val="0"/>
        <charset val="1"/>
      </rPr>
      <t xml:space="preserve">/</t>
    </r>
    <r>
      <rPr>
        <sz val="11"/>
        <color rgb="FF000000"/>
        <rFont val="WenQuanYi Zen Hei"/>
        <family val="2"/>
      </rPr>
      <t xml:space="preserve">回</t>
    </r>
    <r>
      <rPr>
        <sz val="11"/>
        <color rgb="FF000000"/>
        <rFont val="Arial"/>
        <family val="0"/>
        <charset val="1"/>
      </rPr>
      <t xml:space="preserve">(</t>
    </r>
    <r>
      <rPr>
        <sz val="11"/>
        <color rgb="FF000000"/>
        <rFont val="WenQuanYi Zen Hei"/>
        <family val="2"/>
      </rPr>
      <t xml:space="preserve">要確認</t>
    </r>
    <r>
      <rPr>
        <sz val="11"/>
        <color rgb="FF000000"/>
        <rFont val="Arial"/>
        <family val="0"/>
        <charset val="1"/>
      </rPr>
      <t xml:space="preserve">)</t>
    </r>
  </si>
  <si>
    <r>
      <rPr>
        <sz val="11"/>
        <color rgb="FF000000"/>
        <rFont val="WenQuanYi Zen Hei"/>
        <family val="2"/>
      </rPr>
      <t xml:space="preserve">食事提供体制加算 対象者割合</t>
    </r>
    <r>
      <rPr>
        <sz val="11"/>
        <color rgb="FF000000"/>
        <rFont val="Arial"/>
        <family val="0"/>
        <charset val="1"/>
      </rPr>
      <t xml:space="preserve">(</t>
    </r>
    <r>
      <rPr>
        <sz val="11"/>
        <color rgb="FF000000"/>
        <rFont val="WenQuanYi Zen Hei"/>
        <family val="2"/>
      </rPr>
      <t xml:space="preserve">低所得者等</t>
    </r>
    <r>
      <rPr>
        <sz val="11"/>
        <color rgb="FF000000"/>
        <rFont val="Arial"/>
        <family val="0"/>
        <charset val="1"/>
      </rPr>
      <t xml:space="preserve">)</t>
    </r>
  </si>
  <si>
    <r>
      <rPr>
        <sz val="11"/>
        <color rgb="FF000000"/>
        <rFont val="Arial"/>
        <family val="0"/>
        <charset val="1"/>
      </rPr>
      <t xml:space="preserve">%</t>
    </r>
    <r>
      <rPr>
        <sz val="11"/>
        <color rgb="FF000000"/>
        <rFont val="WenQuanYi Zen Hei"/>
        <family val="2"/>
      </rPr>
      <t xml:space="preserve">。経過措置</t>
    </r>
    <r>
      <rPr>
        <sz val="11"/>
        <color rgb="FF000000"/>
        <rFont val="Arial"/>
        <family val="0"/>
        <charset val="1"/>
      </rPr>
      <t xml:space="preserve">(</t>
    </r>
    <r>
      <rPr>
        <sz val="11"/>
        <color rgb="FF000000"/>
        <rFont val="WenQuanYi Zen Hei"/>
        <family val="2"/>
      </rPr>
      <t xml:space="preserve">延長中</t>
    </r>
    <r>
      <rPr>
        <sz val="11"/>
        <color rgb="FF000000"/>
        <rFont val="Arial"/>
        <family val="0"/>
        <charset val="1"/>
      </rPr>
      <t xml:space="preserve">)</t>
    </r>
    <r>
      <rPr>
        <sz val="11"/>
        <color rgb="FF000000"/>
        <rFont val="WenQuanYi Zen Hei"/>
        <family val="2"/>
      </rPr>
      <t xml:space="preserve">。所得要件を満たす利用者のみ対象のため全利用者には適用されない想定</t>
    </r>
  </si>
  <si>
    <t xml:space="preserve">食事提供体制加算単位数</t>
  </si>
  <si>
    <r>
      <rPr>
        <sz val="11"/>
        <color rgb="FF000000"/>
        <rFont val="WenQuanYi Zen Hei"/>
        <family val="2"/>
      </rPr>
      <t xml:space="preserve">単位</t>
    </r>
    <r>
      <rPr>
        <sz val="11"/>
        <color rgb="FF000000"/>
        <rFont val="Arial"/>
        <family val="0"/>
        <charset val="1"/>
      </rPr>
      <t xml:space="preserve">/</t>
    </r>
    <r>
      <rPr>
        <sz val="11"/>
        <color rgb="FF000000"/>
        <rFont val="WenQuanYi Zen Hei"/>
        <family val="2"/>
      </rPr>
      <t xml:space="preserve">日</t>
    </r>
    <r>
      <rPr>
        <sz val="11"/>
        <color rgb="FF000000"/>
        <rFont val="Arial"/>
        <family val="0"/>
        <charset val="1"/>
      </rPr>
      <t xml:space="preserve">(</t>
    </r>
    <r>
      <rPr>
        <sz val="11"/>
        <color rgb="FF000000"/>
        <rFont val="WenQuanYi Zen Hei"/>
        <family val="2"/>
      </rPr>
      <t xml:space="preserve">改訂前は</t>
    </r>
    <r>
      <rPr>
        <sz val="11"/>
        <color rgb="FF000000"/>
        <rFont val="Arial"/>
        <family val="0"/>
        <charset val="1"/>
      </rPr>
      <t xml:space="preserve">96</t>
    </r>
    <r>
      <rPr>
        <sz val="11"/>
        <color rgb="FF000000"/>
        <rFont val="WenQuanYi Zen Hei"/>
        <family val="2"/>
      </rPr>
      <t xml:space="preserve">単位としていたが、公表情報では</t>
    </r>
    <r>
      <rPr>
        <sz val="11"/>
        <color rgb="FF000000"/>
        <rFont val="Arial"/>
        <family val="0"/>
        <charset val="1"/>
      </rPr>
      <t xml:space="preserve">30</t>
    </r>
    <r>
      <rPr>
        <sz val="11"/>
        <color rgb="FF000000"/>
        <rFont val="WenQuanYi Zen Hei"/>
        <family val="2"/>
      </rPr>
      <t xml:space="preserve">単位が確認できたため是正</t>
    </r>
    <r>
      <rPr>
        <sz val="11"/>
        <color rgb="FF000000"/>
        <rFont val="Arial"/>
        <family val="0"/>
        <charset val="1"/>
      </rPr>
      <t xml:space="preserve">)</t>
    </r>
  </si>
  <si>
    <t xml:space="preserve">年間開所日数</t>
  </si>
  <si>
    <r>
      <rPr>
        <sz val="11"/>
        <color rgb="FF000000"/>
        <rFont val="WenQuanYi Zen Hei"/>
        <family val="2"/>
      </rPr>
      <t xml:space="preserve">日</t>
    </r>
    <r>
      <rPr>
        <sz val="11"/>
        <color rgb="FF000000"/>
        <rFont val="Arial"/>
        <family val="0"/>
        <charset val="1"/>
      </rPr>
      <t xml:space="preserve">(</t>
    </r>
    <r>
      <rPr>
        <sz val="11"/>
        <color rgb="FF000000"/>
        <rFont val="WenQuanYi Zen Hei"/>
        <family val="2"/>
      </rPr>
      <t xml:space="preserve">平日運営・年末年始等を除く想定。祝日開所を前提とするため、職員シフトは第</t>
    </r>
    <r>
      <rPr>
        <sz val="11"/>
        <color rgb="FF000000"/>
        <rFont val="Arial"/>
        <family val="0"/>
        <charset val="1"/>
      </rPr>
      <t xml:space="preserve">6</t>
    </r>
    <r>
      <rPr>
        <sz val="11"/>
        <color rgb="FF000000"/>
        <rFont val="WenQuanYi Zen Hei"/>
        <family val="2"/>
      </rPr>
      <t xml:space="preserve">章のシフト表で成立を確認すること</t>
    </r>
    <r>
      <rPr>
        <sz val="11"/>
        <color rgb="FF000000"/>
        <rFont val="Arial"/>
        <family val="0"/>
        <charset val="1"/>
      </rPr>
      <t xml:space="preserve">)</t>
    </r>
  </si>
  <si>
    <r>
      <rPr>
        <sz val="11"/>
        <color rgb="FF000000"/>
        <rFont val="WenQuanYi Zen Hei"/>
        <family val="2"/>
      </rPr>
      <t xml:space="preserve">月額家賃</t>
    </r>
    <r>
      <rPr>
        <sz val="11"/>
        <color rgb="FF000000"/>
        <rFont val="Arial"/>
        <family val="0"/>
        <charset val="1"/>
      </rPr>
      <t xml:space="preserve">(</t>
    </r>
    <r>
      <rPr>
        <sz val="11"/>
        <color rgb="FF000000"/>
        <rFont val="WenQuanYi Zen Hei"/>
        <family val="2"/>
      </rPr>
      <t xml:space="preserve">要現地確認</t>
    </r>
    <r>
      <rPr>
        <sz val="11"/>
        <color rgb="FF000000"/>
        <rFont val="Arial"/>
        <family val="0"/>
        <charset val="1"/>
      </rPr>
      <t xml:space="preserve">)</t>
    </r>
  </si>
  <si>
    <r>
      <rPr>
        <sz val="11"/>
        <color rgb="FF000000"/>
        <rFont val="WenQuanYi Zen Hei"/>
        <family val="2"/>
      </rPr>
      <t xml:space="preserve">円</t>
    </r>
    <r>
      <rPr>
        <sz val="11"/>
        <color rgb="FF000000"/>
        <rFont val="Arial"/>
        <family val="0"/>
        <charset val="1"/>
      </rPr>
      <t xml:space="preserve">/</t>
    </r>
    <r>
      <rPr>
        <sz val="11"/>
        <color rgb="FF000000"/>
        <rFont val="WenQuanYi Zen Hei"/>
        <family val="2"/>
      </rPr>
      <t xml:space="preserve">月。延床</t>
    </r>
    <r>
      <rPr>
        <sz val="11"/>
        <color rgb="FF000000"/>
        <rFont val="Arial"/>
        <family val="0"/>
        <charset val="1"/>
      </rPr>
      <t xml:space="preserve">250</t>
    </r>
    <r>
      <rPr>
        <sz val="11"/>
        <color rgb="FF000000"/>
        <rFont val="WenQuanYi Zen Hei"/>
        <family val="2"/>
      </rPr>
      <t xml:space="preserve">〜</t>
    </r>
    <r>
      <rPr>
        <sz val="11"/>
        <color rgb="FF000000"/>
        <rFont val="Arial"/>
        <family val="0"/>
        <charset val="1"/>
      </rPr>
      <t xml:space="preserve">350</t>
    </r>
    <r>
      <rPr>
        <sz val="11"/>
        <color rgb="FF000000"/>
        <rFont val="WenQuanYi Zen Hei"/>
        <family val="2"/>
      </rPr>
      <t xml:space="preserve">㎡・佐伯区</t>
    </r>
    <r>
      <rPr>
        <sz val="11"/>
        <color rgb="FF000000"/>
        <rFont val="Arial"/>
        <family val="0"/>
        <charset val="1"/>
      </rPr>
      <t xml:space="preserve">or</t>
    </r>
    <r>
      <rPr>
        <sz val="11"/>
        <color rgb="FF000000"/>
        <rFont val="WenQuanYi Zen Hei"/>
        <family val="2"/>
      </rPr>
      <t xml:space="preserve">西区想定</t>
    </r>
    <r>
      <rPr>
        <sz val="11"/>
        <color rgb="FF000000"/>
        <rFont val="Arial"/>
        <family val="0"/>
        <charset val="1"/>
      </rPr>
      <t xml:space="preserve">(</t>
    </r>
    <r>
      <rPr>
        <sz val="11"/>
        <color rgb="FF000000"/>
        <rFont val="WenQuanYi Zen Hei"/>
        <family val="2"/>
      </rPr>
      <t xml:space="preserve">坪</t>
    </r>
    <r>
      <rPr>
        <sz val="11"/>
        <color rgb="FF000000"/>
        <rFont val="Arial"/>
        <family val="0"/>
        <charset val="1"/>
      </rPr>
      <t xml:space="preserve">3,500</t>
    </r>
    <r>
      <rPr>
        <sz val="11"/>
        <color rgb="FF000000"/>
        <rFont val="WenQuanYi Zen Hei"/>
        <family val="2"/>
      </rPr>
      <t xml:space="preserve">〜</t>
    </r>
    <r>
      <rPr>
        <sz val="11"/>
        <color rgb="FF000000"/>
        <rFont val="Arial"/>
        <family val="0"/>
        <charset val="1"/>
      </rPr>
      <t xml:space="preserve">4,500</t>
    </r>
    <r>
      <rPr>
        <sz val="11"/>
        <color rgb="FF000000"/>
        <rFont val="WenQuanYi Zen Hei"/>
        <family val="2"/>
      </rPr>
      <t xml:space="preserve">円相当</t>
    </r>
    <r>
      <rPr>
        <sz val="11"/>
        <color rgb="FF000000"/>
        <rFont val="Arial"/>
        <family val="0"/>
        <charset val="1"/>
      </rPr>
      <t xml:space="preserve">)</t>
    </r>
  </si>
  <si>
    <r>
      <rPr>
        <sz val="11"/>
        <color rgb="FF000000"/>
        <rFont val="WenQuanYi Zen Hei"/>
        <family val="2"/>
      </rPr>
      <t xml:space="preserve">車両関連費</t>
    </r>
    <r>
      <rPr>
        <sz val="11"/>
        <color rgb="FF000000"/>
        <rFont val="Arial"/>
        <family val="0"/>
        <charset val="1"/>
      </rPr>
      <t xml:space="preserve">(</t>
    </r>
    <r>
      <rPr>
        <sz val="11"/>
        <color rgb="FF000000"/>
        <rFont val="WenQuanYi Zen Hei"/>
        <family val="2"/>
      </rPr>
      <t xml:space="preserve">年間、燃料・保険・整備等</t>
    </r>
    <r>
      <rPr>
        <sz val="11"/>
        <color rgb="FF000000"/>
        <rFont val="Arial"/>
        <family val="0"/>
        <charset val="1"/>
      </rPr>
      <t xml:space="preserve">)</t>
    </r>
  </si>
  <si>
    <r>
      <rPr>
        <sz val="11"/>
        <color rgb="FF000000"/>
        <rFont val="WenQuanYi Zen Hei"/>
        <family val="2"/>
      </rPr>
      <t xml:space="preserve">円</t>
    </r>
    <r>
      <rPr>
        <sz val="11"/>
        <color rgb="FF000000"/>
        <rFont val="Arial"/>
        <family val="0"/>
        <charset val="1"/>
      </rPr>
      <t xml:space="preserve">(</t>
    </r>
    <r>
      <rPr>
        <sz val="11"/>
        <color rgb="FF000000"/>
        <rFont val="WenQuanYi Zen Hei"/>
        <family val="2"/>
      </rPr>
      <t xml:space="preserve">福祉車両</t>
    </r>
    <r>
      <rPr>
        <sz val="11"/>
        <color rgb="FF000000"/>
        <rFont val="Arial"/>
        <family val="0"/>
        <charset val="1"/>
      </rPr>
      <t xml:space="preserve">2</t>
    </r>
    <r>
      <rPr>
        <sz val="11"/>
        <color rgb="FF000000"/>
        <rFont val="WenQuanYi Zen Hei"/>
        <family val="2"/>
      </rPr>
      <t xml:space="preserve">台、購入前提</t>
    </r>
    <r>
      <rPr>
        <sz val="11"/>
        <color rgb="FF000000"/>
        <rFont val="Arial"/>
        <family val="0"/>
        <charset val="1"/>
      </rPr>
      <t xml:space="preserve">)</t>
    </r>
  </si>
  <si>
    <r>
      <rPr>
        <sz val="11"/>
        <color rgb="FF000000"/>
        <rFont val="WenQuanYi Zen Hei"/>
        <family val="2"/>
      </rPr>
      <t xml:space="preserve">その他経費</t>
    </r>
    <r>
      <rPr>
        <sz val="11"/>
        <color rgb="FF000000"/>
        <rFont val="Arial"/>
        <family val="0"/>
        <charset val="1"/>
      </rPr>
      <t xml:space="preserve">(</t>
    </r>
    <r>
      <rPr>
        <sz val="11"/>
        <color rgb="FF000000"/>
        <rFont val="WenQuanYi Zen Hei"/>
        <family val="2"/>
      </rPr>
      <t xml:space="preserve">年間、内訳は下記の合計を自動集計</t>
    </r>
    <r>
      <rPr>
        <sz val="11"/>
        <color rgb="FF000000"/>
        <rFont val="Arial"/>
        <family val="0"/>
        <charset val="1"/>
      </rPr>
      <t xml:space="preserve">)</t>
    </r>
  </si>
  <si>
    <t xml:space="preserve">円</t>
  </si>
  <si>
    <r>
      <rPr>
        <sz val="11"/>
        <color rgb="FF000000"/>
        <rFont val="WenQuanYi Zen Hei"/>
        <family val="2"/>
      </rPr>
      <t xml:space="preserve">減価償却対象額</t>
    </r>
    <r>
      <rPr>
        <sz val="11"/>
        <color rgb="FF000000"/>
        <rFont val="Arial"/>
        <family val="0"/>
        <charset val="1"/>
      </rPr>
      <t xml:space="preserve">(</t>
    </r>
    <r>
      <rPr>
        <sz val="11"/>
        <color rgb="FF000000"/>
        <rFont val="WenQuanYi Zen Hei"/>
        <family val="2"/>
      </rPr>
      <t xml:space="preserve">初期投資シートより自動計算</t>
    </r>
    <r>
      <rPr>
        <sz val="11"/>
        <color rgb="FF000000"/>
        <rFont val="Arial"/>
        <family val="0"/>
        <charset val="1"/>
      </rPr>
      <t xml:space="preserve">)</t>
    </r>
  </si>
  <si>
    <r>
      <rPr>
        <sz val="11"/>
        <color rgb="FF000000"/>
        <rFont val="WenQuanYi Zen Hei"/>
        <family val="2"/>
      </rPr>
      <t xml:space="preserve">減価償却耐用年数</t>
    </r>
    <r>
      <rPr>
        <sz val="11"/>
        <color rgb="FF000000"/>
        <rFont val="Arial"/>
        <family val="0"/>
        <charset val="1"/>
      </rPr>
      <t xml:space="preserve">(</t>
    </r>
    <r>
      <rPr>
        <sz val="11"/>
        <color rgb="FF000000"/>
        <rFont val="WenQuanYi Zen Hei"/>
        <family val="2"/>
      </rPr>
      <t xml:space="preserve">想定・簡便</t>
    </r>
    <r>
      <rPr>
        <sz val="11"/>
        <color rgb="FF000000"/>
        <rFont val="Arial"/>
        <family val="0"/>
        <charset val="1"/>
      </rPr>
      <t xml:space="preserve">)</t>
    </r>
  </si>
  <si>
    <r>
      <rPr>
        <sz val="11"/>
        <color rgb="FF000000"/>
        <rFont val="WenQuanYi Zen Hei"/>
        <family val="2"/>
      </rPr>
      <t xml:space="preserve">年</t>
    </r>
    <r>
      <rPr>
        <sz val="11"/>
        <color rgb="FF000000"/>
        <rFont val="Arial"/>
        <family val="0"/>
        <charset val="1"/>
      </rPr>
      <t xml:space="preserve">(</t>
    </r>
    <r>
      <rPr>
        <sz val="11"/>
        <color rgb="FF000000"/>
        <rFont val="WenQuanYi Zen Hei"/>
        <family val="2"/>
      </rPr>
      <t xml:space="preserve">内装・什器・車両で本来は個別だが簡便的に一括。税務は税理士に要確認</t>
    </r>
    <r>
      <rPr>
        <sz val="11"/>
        <color rgb="FF000000"/>
        <rFont val="Arial"/>
        <family val="0"/>
        <charset val="1"/>
      </rPr>
      <t xml:space="preserve">)</t>
    </r>
  </si>
  <si>
    <r>
      <rPr>
        <b val="true"/>
        <sz val="11"/>
        <rFont val="Arial"/>
        <family val="0"/>
        <charset val="1"/>
      </rPr>
      <t xml:space="preserve">(</t>
    </r>
    <r>
      <rPr>
        <b val="true"/>
        <sz val="11"/>
        <rFont val="WenQuanYi Zen Hei"/>
        <family val="2"/>
      </rPr>
      <t xml:space="preserve">内訳</t>
    </r>
    <r>
      <rPr>
        <b val="true"/>
        <sz val="11"/>
        <rFont val="Arial"/>
        <family val="0"/>
        <charset val="1"/>
      </rPr>
      <t xml:space="preserve">)</t>
    </r>
    <r>
      <rPr>
        <b val="true"/>
        <sz val="11"/>
        <rFont val="WenQuanYi Zen Hei"/>
        <family val="2"/>
      </rPr>
      <t xml:space="preserve">その他経費の内訳</t>
    </r>
    <r>
      <rPr>
        <b val="true"/>
        <sz val="11"/>
        <rFont val="Arial"/>
        <family val="0"/>
        <charset val="1"/>
      </rPr>
      <t xml:space="preserve">(</t>
    </r>
    <r>
      <rPr>
        <b val="true"/>
        <sz val="11"/>
        <rFont val="WenQuanYi Zen Hei"/>
        <family val="2"/>
      </rPr>
      <t xml:space="preserve">年間</t>
    </r>
    <r>
      <rPr>
        <b val="true"/>
        <sz val="11"/>
        <rFont val="Arial"/>
        <family val="0"/>
        <charset val="1"/>
      </rPr>
      <t xml:space="preserve">)</t>
    </r>
  </si>
  <si>
    <t xml:space="preserve">水道光熱費・消耗品費</t>
  </si>
  <si>
    <r>
      <rPr>
        <sz val="11"/>
        <color rgb="FF000000"/>
        <rFont val="WenQuanYi Zen Hei"/>
        <family val="2"/>
      </rPr>
      <t xml:space="preserve">給食材料費</t>
    </r>
    <r>
      <rPr>
        <sz val="11"/>
        <color rgb="FF000000"/>
        <rFont val="Arial"/>
        <family val="0"/>
        <charset val="1"/>
      </rPr>
      <t xml:space="preserve">(</t>
    </r>
    <r>
      <rPr>
        <sz val="11"/>
        <color rgb="FF000000"/>
        <rFont val="WenQuanYi Zen Hei"/>
        <family val="2"/>
      </rPr>
      <t xml:space="preserve">外部委託費</t>
    </r>
    <r>
      <rPr>
        <sz val="11"/>
        <color rgb="FF000000"/>
        <rFont val="Arial"/>
        <family val="0"/>
        <charset val="1"/>
      </rPr>
      <t xml:space="preserve">)</t>
    </r>
  </si>
  <si>
    <t xml:space="preserve">嘱託医費用</t>
  </si>
  <si>
    <t xml:space="preserve">税理士顧問料・決算料</t>
  </si>
  <si>
    <t xml:space="preserve">社会保険労務士費用</t>
  </si>
  <si>
    <t xml:space="preserve">記録・請求システム利用料</t>
  </si>
  <si>
    <t xml:space="preserve">損害賠償責任保険・傷害保険</t>
  </si>
  <si>
    <t xml:space="preserve">職員健康診断</t>
  </si>
  <si>
    <r>
      <rPr>
        <sz val="11"/>
        <color rgb="FF000000"/>
        <rFont val="WenQuanYi Zen Hei"/>
        <family val="2"/>
      </rPr>
      <t xml:space="preserve">研修費・広告費・虐待防止</t>
    </r>
    <r>
      <rPr>
        <sz val="11"/>
        <color rgb="FF000000"/>
        <rFont val="Arial"/>
        <family val="0"/>
        <charset val="1"/>
      </rPr>
      <t xml:space="preserve">/BCP</t>
    </r>
    <r>
      <rPr>
        <sz val="11"/>
        <color rgb="FF000000"/>
        <rFont val="WenQuanYi Zen Hei"/>
        <family val="2"/>
      </rPr>
      <t xml:space="preserve">等体制整備費</t>
    </r>
  </si>
  <si>
    <r>
      <rPr>
        <sz val="11"/>
        <color rgb="FF000000"/>
        <rFont val="WenQuanYi Zen Hei"/>
        <family val="2"/>
      </rPr>
      <t xml:space="preserve">内訳合計</t>
    </r>
    <r>
      <rPr>
        <sz val="11"/>
        <color rgb="FF000000"/>
        <rFont val="Arial"/>
        <family val="0"/>
        <charset val="1"/>
      </rPr>
      <t xml:space="preserve">(</t>
    </r>
    <r>
      <rPr>
        <sz val="11"/>
        <color rgb="FF000000"/>
        <rFont val="WenQuanYi Zen Hei"/>
        <family val="2"/>
      </rPr>
      <t xml:space="preserve">自動集計。上の『その他経費』セルに反映</t>
    </r>
    <r>
      <rPr>
        <sz val="11"/>
        <color rgb="FF000000"/>
        <rFont val="Arial"/>
        <family val="0"/>
        <charset val="1"/>
      </rPr>
      <t xml:space="preserve">)</t>
    </r>
  </si>
  <si>
    <r>
      <rPr>
        <b val="true"/>
        <sz val="14"/>
        <rFont val="WenQuanYi Zen Hei"/>
        <family val="2"/>
      </rPr>
      <t xml:space="preserve">想定スタッフ体制・年間人件費</t>
    </r>
    <r>
      <rPr>
        <b val="true"/>
        <sz val="14"/>
        <rFont val="Arial"/>
        <family val="0"/>
        <charset val="1"/>
      </rPr>
      <t xml:space="preserve">(</t>
    </r>
    <r>
      <rPr>
        <b val="true"/>
        <sz val="14"/>
        <rFont val="WenQuanYi Zen Hei"/>
        <family val="2"/>
      </rPr>
      <t xml:space="preserve">常勤換算・法定福利費込</t>
    </r>
    <r>
      <rPr>
        <b val="true"/>
        <sz val="14"/>
        <rFont val="Arial"/>
        <family val="0"/>
        <charset val="1"/>
      </rPr>
      <t xml:space="preserve">)</t>
    </r>
  </si>
  <si>
    <r>
      <rPr>
        <sz val="11"/>
        <color theme="1"/>
        <rFont val="WenQuanYi Zen Hei"/>
        <family val="2"/>
      </rPr>
      <t xml:space="preserve">看護職員・機能訓練指導員</t>
    </r>
    <r>
      <rPr>
        <sz val="11"/>
        <color theme="1"/>
        <rFont val="Calibri"/>
        <family val="2"/>
        <charset val="1"/>
      </rPr>
      <t xml:space="preserve">(PT/OT)</t>
    </r>
    <r>
      <rPr>
        <sz val="11"/>
        <color theme="1"/>
        <rFont val="WenQuanYi Zen Hei"/>
        <family val="2"/>
      </rPr>
      <t xml:space="preserve">は生活支援員等と兼務させず、必置の独立職種として配置</t>
    </r>
    <r>
      <rPr>
        <sz val="11"/>
        <color theme="1"/>
        <rFont val="Calibri"/>
        <family val="2"/>
        <charset val="1"/>
      </rPr>
      <t xml:space="preserve">(</t>
    </r>
    <r>
      <rPr>
        <sz val="11"/>
        <color theme="1"/>
        <rFont val="WenQuanYi Zen Hei"/>
        <family val="2"/>
      </rPr>
      <t xml:space="preserve">人員基準上、生活支援員への兼務は不可</t>
    </r>
    <r>
      <rPr>
        <sz val="11"/>
        <color theme="1"/>
        <rFont val="Calibri"/>
        <family val="2"/>
        <charset val="1"/>
      </rPr>
      <t xml:space="preserve">)</t>
    </r>
    <r>
      <rPr>
        <sz val="11"/>
        <color theme="1"/>
        <rFont val="WenQuanYi Zen Hei"/>
        <family val="2"/>
      </rPr>
      <t xml:space="preserve">。豊口氏の役員報酬は年度により変動するため、本シートには含めず「収支計画</t>
    </r>
    <r>
      <rPr>
        <sz val="11"/>
        <color theme="1"/>
        <rFont val="Calibri"/>
        <family val="2"/>
        <charset val="1"/>
      </rPr>
      <t xml:space="preserve">5</t>
    </r>
    <r>
      <rPr>
        <sz val="11"/>
        <color theme="1"/>
        <rFont val="WenQuanYi Zen Hei"/>
        <family val="2"/>
      </rPr>
      <t xml:space="preserve">年」シートで別建て計上。</t>
    </r>
  </si>
  <si>
    <t xml:space="preserve">職種</t>
  </si>
  <si>
    <r>
      <rPr>
        <b val="true"/>
        <sz val="11"/>
        <color rgb="FFFFFFFF"/>
        <rFont val="WenQuanYi Zen Hei"/>
        <family val="2"/>
      </rPr>
      <t xml:space="preserve">人数</t>
    </r>
    <r>
      <rPr>
        <b val="true"/>
        <sz val="11"/>
        <color rgb="FFFFFFFF"/>
        <rFont val="Arial"/>
        <family val="0"/>
        <charset val="1"/>
      </rPr>
      <t xml:space="preserve">(</t>
    </r>
    <r>
      <rPr>
        <b val="true"/>
        <sz val="11"/>
        <color rgb="FFFFFFFF"/>
        <rFont val="WenQuanYi Zen Hei"/>
        <family val="2"/>
      </rPr>
      <t xml:space="preserve">常勤換算</t>
    </r>
    <r>
      <rPr>
        <b val="true"/>
        <sz val="11"/>
        <color rgb="FFFFFFFF"/>
        <rFont val="Arial"/>
        <family val="0"/>
        <charset val="1"/>
      </rPr>
      <t xml:space="preserve">)</t>
    </r>
  </si>
  <si>
    <r>
      <rPr>
        <b val="true"/>
        <sz val="11"/>
        <color rgb="FFFFFFFF"/>
        <rFont val="WenQuanYi Zen Hei"/>
        <family val="2"/>
      </rPr>
      <t xml:space="preserve">想定年収単価</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r>
      <rPr>
        <b val="true"/>
        <sz val="11"/>
        <color rgb="FFFFFFFF"/>
        <rFont val="WenQuanYi Zen Hei"/>
        <family val="2"/>
      </rPr>
      <t xml:space="preserve">人</t>
    </r>
    <r>
      <rPr>
        <b val="true"/>
        <sz val="11"/>
        <color rgb="FFFFFFFF"/>
        <rFont val="Arial"/>
        <family val="0"/>
        <charset val="1"/>
      </rPr>
      <t xml:space="preserve">)</t>
    </r>
  </si>
  <si>
    <r>
      <rPr>
        <b val="true"/>
        <sz val="11"/>
        <color rgb="FFFFFFFF"/>
        <rFont val="WenQuanYi Zen Hei"/>
        <family val="2"/>
      </rPr>
      <t xml:space="preserve">年間人件費</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</si>
  <si>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sz val="11"/>
        <color rgb="FF000000"/>
        <rFont val="WenQuanYi Zen Hei"/>
        <family val="2"/>
      </rPr>
      <t xml:space="preserve">管理者兼サービス管理責任者</t>
    </r>
    <r>
      <rPr>
        <sz val="11"/>
        <color rgb="FF000000"/>
        <rFont val="Arial"/>
        <family val="0"/>
        <charset val="1"/>
      </rPr>
      <t xml:space="preserve">(</t>
    </r>
    <r>
      <rPr>
        <sz val="11"/>
        <color rgb="FF000000"/>
        <rFont val="WenQuanYi Zen Hei"/>
        <family val="2"/>
      </rPr>
      <t xml:space="preserve">丸山氏</t>
    </r>
    <r>
      <rPr>
        <sz val="11"/>
        <color rgb="FF000000"/>
        <rFont val="Arial"/>
        <family val="0"/>
        <charset val="1"/>
      </rPr>
      <t xml:space="preserve">)</t>
    </r>
  </si>
  <si>
    <t xml:space="preserve">常勤・専従が原則。現場の直接支援に恒常的に入る場合はサビ管の専従性・生活支援員等の必要数への算入可否を広島市の事前相談で要確認</t>
  </si>
  <si>
    <t xml:space="preserve">生活支援員等</t>
  </si>
  <si>
    <r>
      <rPr>
        <sz val="11"/>
        <color rgb="FF000000"/>
        <rFont val="WenQuanYi Zen Hei"/>
        <family val="2"/>
      </rPr>
      <t xml:space="preserve">配置基準</t>
    </r>
    <r>
      <rPr>
        <sz val="11"/>
        <color rgb="FF000000"/>
        <rFont val="Arial"/>
        <family val="0"/>
        <charset val="1"/>
      </rPr>
      <t xml:space="preserve">(3:1</t>
    </r>
    <r>
      <rPr>
        <sz val="11"/>
        <color rgb="FF000000"/>
        <rFont val="WenQuanYi Zen Hei"/>
        <family val="2"/>
      </rPr>
      <t xml:space="preserve">、定員</t>
    </r>
    <r>
      <rPr>
        <sz val="11"/>
        <color rgb="FF000000"/>
        <rFont val="Arial"/>
        <family val="0"/>
        <charset val="1"/>
      </rPr>
      <t xml:space="preserve">×90%</t>
    </r>
    <r>
      <rPr>
        <sz val="11"/>
        <color rgb="FF000000"/>
        <rFont val="WenQuanYi Zen Hei"/>
        <family val="2"/>
      </rPr>
      <t xml:space="preserve">が分母</t>
    </r>
    <r>
      <rPr>
        <sz val="11"/>
        <color rgb="FF000000"/>
        <rFont val="Arial"/>
        <family val="0"/>
        <charset val="1"/>
      </rPr>
      <t xml:space="preserve">)</t>
    </r>
    <r>
      <rPr>
        <sz val="11"/>
        <color rgb="FF000000"/>
        <rFont val="WenQuanYi Zen Hei"/>
        <family val="2"/>
      </rPr>
      <t xml:space="preserve">に基づく必要人数を自動計算。送迎は本人員のシフト内で輪番対応</t>
    </r>
  </si>
  <si>
    <r>
      <rPr>
        <sz val="11"/>
        <color rgb="FF000000"/>
        <rFont val="WenQuanYi Zen Hei"/>
        <family val="2"/>
      </rPr>
      <t xml:space="preserve">看護職員</t>
    </r>
    <r>
      <rPr>
        <sz val="11"/>
        <color rgb="FF000000"/>
        <rFont val="Arial"/>
        <family val="0"/>
        <charset val="1"/>
      </rPr>
      <t xml:space="preserve">(</t>
    </r>
    <r>
      <rPr>
        <sz val="11"/>
        <color rgb="FF000000"/>
        <rFont val="WenQuanYi Zen Hei"/>
        <family val="2"/>
      </rPr>
      <t xml:space="preserve">看護師・准看護師、必置</t>
    </r>
    <r>
      <rPr>
        <sz val="11"/>
        <color rgb="FF000000"/>
        <rFont val="Arial"/>
        <family val="0"/>
        <charset val="1"/>
      </rPr>
      <t xml:space="preserve">)</t>
    </r>
  </si>
  <si>
    <r>
      <rPr>
        <sz val="11"/>
        <color rgb="FF000000"/>
        <rFont val="WenQuanYi Zen Hei"/>
        <family val="2"/>
      </rPr>
      <t xml:space="preserve">生活介護の単位ごとに常勤換算</t>
    </r>
    <r>
      <rPr>
        <sz val="11"/>
        <color rgb="FF000000"/>
        <rFont val="Arial"/>
        <family val="0"/>
        <charset val="1"/>
      </rPr>
      <t xml:space="preserve">1</t>
    </r>
    <r>
      <rPr>
        <sz val="11"/>
        <color rgb="FF000000"/>
        <rFont val="WenQuanYi Zen Hei"/>
        <family val="2"/>
      </rPr>
      <t xml:space="preserve">以上が必置。非常勤の組み合わせ</t>
    </r>
    <r>
      <rPr>
        <sz val="11"/>
        <color rgb="FF000000"/>
        <rFont val="Arial"/>
        <family val="0"/>
        <charset val="1"/>
      </rPr>
      <t xml:space="preserve">(</t>
    </r>
    <r>
      <rPr>
        <sz val="11"/>
        <color rgb="FF000000"/>
        <rFont val="WenQuanYi Zen Hei"/>
        <family val="2"/>
      </rPr>
      <t xml:space="preserve">例</t>
    </r>
    <r>
      <rPr>
        <sz val="11"/>
        <color rgb="FF000000"/>
        <rFont val="Arial"/>
        <family val="0"/>
        <charset val="1"/>
      </rPr>
      <t xml:space="preserve">:</t>
    </r>
    <r>
      <rPr>
        <sz val="11"/>
        <color rgb="FF000000"/>
        <rFont val="WenQuanYi Zen Hei"/>
        <family val="2"/>
      </rPr>
      <t xml:space="preserve">週</t>
    </r>
    <r>
      <rPr>
        <sz val="11"/>
        <color rgb="FF000000"/>
        <rFont val="Arial"/>
        <family val="0"/>
        <charset val="1"/>
      </rPr>
      <t xml:space="preserve">3</t>
    </r>
    <r>
      <rPr>
        <sz val="11"/>
        <color rgb="FF000000"/>
        <rFont val="WenQuanYi Zen Hei"/>
        <family val="2"/>
      </rPr>
      <t xml:space="preserve">日</t>
    </r>
    <r>
      <rPr>
        <sz val="11"/>
        <color rgb="FF000000"/>
        <rFont val="Arial"/>
        <family val="0"/>
        <charset val="1"/>
      </rPr>
      <t xml:space="preserve">×2</t>
    </r>
    <r>
      <rPr>
        <sz val="11"/>
        <color rgb="FF000000"/>
        <rFont val="WenQuanYi Zen Hei"/>
        <family val="2"/>
      </rPr>
      <t xml:space="preserve">名</t>
    </r>
    <r>
      <rPr>
        <sz val="11"/>
        <color rgb="FF000000"/>
        <rFont val="Arial"/>
        <family val="0"/>
        <charset val="1"/>
      </rPr>
      <t xml:space="preserve">)</t>
    </r>
    <r>
      <rPr>
        <sz val="11"/>
        <color rgb="FF000000"/>
        <rFont val="WenQuanYi Zen Hei"/>
        <family val="2"/>
      </rPr>
      <t xml:space="preserve">でも常勤換算</t>
    </r>
    <r>
      <rPr>
        <sz val="11"/>
        <color rgb="FF000000"/>
        <rFont val="Arial"/>
        <family val="0"/>
        <charset val="1"/>
      </rPr>
      <t xml:space="preserve">1.0</t>
    </r>
    <r>
      <rPr>
        <sz val="11"/>
        <color rgb="FF000000"/>
        <rFont val="WenQuanYi Zen Hei"/>
        <family val="2"/>
      </rPr>
      <t xml:space="preserve">を満たす設計可</t>
    </r>
  </si>
  <si>
    <r>
      <rPr>
        <sz val="11"/>
        <color rgb="FF000000"/>
        <rFont val="WenQuanYi Zen Hei"/>
        <family val="2"/>
      </rPr>
      <t xml:space="preserve">機能訓練指導員</t>
    </r>
    <r>
      <rPr>
        <sz val="11"/>
        <color rgb="FF000000"/>
        <rFont val="Arial"/>
        <family val="0"/>
        <charset val="1"/>
      </rPr>
      <t xml:space="preserve">(PT/OT</t>
    </r>
    <r>
      <rPr>
        <sz val="11"/>
        <color rgb="FF000000"/>
        <rFont val="WenQuanYi Zen Hei"/>
        <family val="2"/>
      </rPr>
      <t xml:space="preserve">、非常勤</t>
    </r>
    <r>
      <rPr>
        <sz val="11"/>
        <color rgb="FF000000"/>
        <rFont val="Arial"/>
        <family val="0"/>
        <charset val="1"/>
      </rPr>
      <t xml:space="preserve">)</t>
    </r>
  </si>
  <si>
    <r>
      <rPr>
        <sz val="11"/>
        <color rgb="FF000000"/>
        <rFont val="WenQuanYi Zen Hei"/>
        <family val="2"/>
      </rPr>
      <t xml:space="preserve">機能訓練を運営規程に位置付ける場合は配置必須。非常勤</t>
    </r>
    <r>
      <rPr>
        <sz val="11"/>
        <color rgb="FF000000"/>
        <rFont val="Arial"/>
        <family val="0"/>
        <charset val="1"/>
      </rPr>
      <t xml:space="preserve">(</t>
    </r>
    <r>
      <rPr>
        <sz val="11"/>
        <color rgb="FF000000"/>
        <rFont val="WenQuanYi Zen Hei"/>
        <family val="2"/>
      </rPr>
      <t xml:space="preserve">週</t>
    </r>
    <r>
      <rPr>
        <sz val="11"/>
        <color rgb="FF000000"/>
        <rFont val="Arial"/>
        <family val="0"/>
        <charset val="1"/>
      </rPr>
      <t xml:space="preserve">2</t>
    </r>
    <r>
      <rPr>
        <sz val="11"/>
        <color rgb="FF000000"/>
        <rFont val="WenQuanYi Zen Hei"/>
        <family val="2"/>
      </rPr>
      <t xml:space="preserve">日程度</t>
    </r>
    <r>
      <rPr>
        <sz val="11"/>
        <color rgb="FF000000"/>
        <rFont val="Arial"/>
        <family val="0"/>
        <charset val="1"/>
      </rPr>
      <t xml:space="preserve">)</t>
    </r>
    <r>
      <rPr>
        <sz val="11"/>
        <color rgb="FF000000"/>
        <rFont val="WenQuanYi Zen Hei"/>
        <family val="2"/>
      </rPr>
      <t xml:space="preserve">を想定。機能訓練体制加算の対象可否は要確認</t>
    </r>
  </si>
  <si>
    <r>
      <rPr>
        <sz val="11"/>
        <color rgb="FF000000"/>
        <rFont val="WenQuanYi Zen Hei"/>
        <family val="2"/>
      </rPr>
      <t xml:space="preserve">事務員</t>
    </r>
    <r>
      <rPr>
        <sz val="11"/>
        <color rgb="FF000000"/>
        <rFont val="Arial"/>
        <family val="0"/>
        <charset val="1"/>
      </rPr>
      <t xml:space="preserve">(</t>
    </r>
    <r>
      <rPr>
        <sz val="11"/>
        <color rgb="FF000000"/>
        <rFont val="WenQuanYi Zen Hei"/>
        <family val="2"/>
      </rPr>
      <t xml:space="preserve">パート</t>
    </r>
    <r>
      <rPr>
        <sz val="11"/>
        <color rgb="FF000000"/>
        <rFont val="Arial"/>
        <family val="0"/>
        <charset val="1"/>
      </rPr>
      <t xml:space="preserve">)</t>
    </r>
  </si>
  <si>
    <t xml:space="preserve">経理・請求事務等</t>
  </si>
  <si>
    <r>
      <rPr>
        <sz val="11"/>
        <color rgb="FF000000"/>
        <rFont val="WenQuanYi Zen Hei"/>
        <family val="2"/>
      </rPr>
      <t xml:space="preserve">送迎対応 割増手当</t>
    </r>
    <r>
      <rPr>
        <sz val="11"/>
        <color rgb="FF000000"/>
        <rFont val="Arial"/>
        <family val="0"/>
        <charset val="1"/>
      </rPr>
      <t xml:space="preserve">(</t>
    </r>
    <r>
      <rPr>
        <sz val="11"/>
        <color rgb="FF000000"/>
        <rFont val="WenQuanYi Zen Hei"/>
        <family val="2"/>
      </rPr>
      <t xml:space="preserve">固定</t>
    </r>
    <r>
      <rPr>
        <sz val="11"/>
        <color rgb="FF000000"/>
        <rFont val="Arial"/>
        <family val="0"/>
        <charset val="1"/>
      </rPr>
      <t xml:space="preserve">)</t>
    </r>
  </si>
  <si>
    <t xml:space="preserve">生活支援員等のシフト内での輪番対応を基本とし、早朝・夕方帯の割増手当として計上</t>
  </si>
  <si>
    <t xml:space="preserve">人件費 小計</t>
  </si>
  <si>
    <r>
      <rPr>
        <sz val="11"/>
        <color rgb="FF000000"/>
        <rFont val="WenQuanYi Zen Hei"/>
        <family val="2"/>
      </rPr>
      <t xml:space="preserve">法定福利費等</t>
    </r>
    <r>
      <rPr>
        <sz val="11"/>
        <color rgb="FF000000"/>
        <rFont val="Arial"/>
        <family val="0"/>
        <charset val="1"/>
      </rPr>
      <t xml:space="preserve">(</t>
    </r>
    <r>
      <rPr>
        <sz val="11"/>
        <color rgb="FF000000"/>
        <rFont val="WenQuanYi Zen Hei"/>
        <family val="2"/>
      </rPr>
      <t xml:space="preserve">小計の概算</t>
    </r>
    <r>
      <rPr>
        <sz val="11"/>
        <color rgb="FF000000"/>
        <rFont val="Arial"/>
        <family val="0"/>
        <charset val="1"/>
      </rPr>
      <t xml:space="preserve">15%)</t>
    </r>
  </si>
  <si>
    <r>
      <rPr>
        <b val="true"/>
        <sz val="11"/>
        <rFont val="WenQuanYi Zen Hei"/>
        <family val="2"/>
      </rPr>
      <t xml:space="preserve">人件費 合計</t>
    </r>
    <r>
      <rPr>
        <b val="true"/>
        <sz val="11"/>
        <rFont val="Arial"/>
        <family val="0"/>
        <charset val="1"/>
      </rPr>
      <t xml:space="preserve">(</t>
    </r>
    <r>
      <rPr>
        <b val="true"/>
        <sz val="11"/>
        <rFont val="WenQuanYi Zen Hei"/>
        <family val="2"/>
      </rPr>
      <t xml:space="preserve">法定福利費込</t>
    </r>
    <r>
      <rPr>
        <b val="true"/>
        <sz val="11"/>
        <rFont val="Arial"/>
        <family val="0"/>
        <charset val="1"/>
      </rPr>
      <t xml:space="preserve">)</t>
    </r>
  </si>
  <si>
    <r>
      <rPr>
        <b val="true"/>
        <sz val="14"/>
        <rFont val="WenQuanYi Zen Hei"/>
        <family val="2"/>
      </rPr>
      <t xml:space="preserve">資金調達計画</t>
    </r>
    <r>
      <rPr>
        <b val="true"/>
        <sz val="14"/>
        <rFont val="Arial"/>
        <family val="0"/>
        <charset val="1"/>
      </rPr>
      <t xml:space="preserve">(</t>
    </r>
    <r>
      <rPr>
        <b val="true"/>
        <sz val="14"/>
        <rFont val="WenQuanYi Zen Hei"/>
        <family val="2"/>
      </rPr>
      <t xml:space="preserve">使途と調達を突合</t>
    </r>
    <r>
      <rPr>
        <b val="true"/>
        <sz val="14"/>
        <rFont val="Arial"/>
        <family val="0"/>
        <charset val="1"/>
      </rPr>
      <t xml:space="preserve">)</t>
    </r>
  </si>
  <si>
    <r>
      <rPr>
        <sz val="11"/>
        <color theme="1"/>
        <rFont val="WenQuanYi Zen Hei"/>
        <family val="2"/>
      </rPr>
      <t xml:space="preserve">使途合計</t>
    </r>
    <r>
      <rPr>
        <sz val="11"/>
        <color theme="1"/>
        <rFont val="Calibri"/>
        <family val="2"/>
        <charset val="1"/>
      </rPr>
      <t xml:space="preserve">(</t>
    </r>
    <r>
      <rPr>
        <sz val="11"/>
        <color theme="1"/>
        <rFont val="WenQuanYi Zen Hei"/>
        <family val="2"/>
      </rPr>
      <t xml:space="preserve">初期投資シート</t>
    </r>
    <r>
      <rPr>
        <sz val="11"/>
        <color theme="1"/>
        <rFont val="Calibri"/>
        <family val="2"/>
        <charset val="1"/>
      </rPr>
      <t xml:space="preserve">)</t>
    </r>
    <r>
      <rPr>
        <sz val="11"/>
        <color theme="1"/>
        <rFont val="WenQuanYi Zen Hei"/>
        <family val="2"/>
      </rPr>
      <t xml:space="preserve">に対して、調達合計が上回っているかを必ず確認すること。不足する場合は、居抜き物件へのグレードダウン・自己資金の積み増し・追加融資枠の確保等で埋める。</t>
    </r>
  </si>
  <si>
    <t xml:space="preserve">【資金使途】</t>
  </si>
  <si>
    <r>
      <rPr>
        <sz val="11"/>
        <color rgb="FF000000"/>
        <rFont val="WenQuanYi Zen Hei"/>
        <family val="2"/>
      </rPr>
      <t xml:space="preserve">初期投資合計</t>
    </r>
    <r>
      <rPr>
        <sz val="11"/>
        <color rgb="FF000000"/>
        <rFont val="Arial"/>
        <family val="0"/>
        <charset val="1"/>
      </rPr>
      <t xml:space="preserve">(Year1</t>
    </r>
    <r>
      <rPr>
        <sz val="11"/>
        <color rgb="FF000000"/>
        <rFont val="WenQuanYi Zen Hei"/>
        <family val="2"/>
      </rPr>
      <t xml:space="preserve">資金繰り実測ベースの運転資金込</t>
    </r>
    <r>
      <rPr>
        <sz val="11"/>
        <color rgb="FF000000"/>
        <rFont val="Arial"/>
        <family val="0"/>
        <charset val="1"/>
      </rPr>
      <t xml:space="preserve">)</t>
    </r>
  </si>
  <si>
    <t xml:space="preserve">【資金調達】</t>
  </si>
  <si>
    <t xml:space="preserve">調達元</t>
  </si>
  <si>
    <t xml:space="preserve">金額</t>
  </si>
  <si>
    <r>
      <rPr>
        <sz val="11"/>
        <color rgb="FF000000"/>
        <rFont val="WenQuanYi Zen Hei"/>
        <family val="2"/>
      </rPr>
      <t xml:space="preserve">自己資金</t>
    </r>
    <r>
      <rPr>
        <sz val="11"/>
        <color rgb="FF000000"/>
        <rFont val="Arial"/>
        <family val="0"/>
        <charset val="1"/>
      </rPr>
      <t xml:space="preserve">(</t>
    </r>
    <r>
      <rPr>
        <sz val="11"/>
        <color rgb="FF000000"/>
        <rFont val="WenQuanYi Zen Hei"/>
        <family val="2"/>
      </rPr>
      <t xml:space="preserve">丸山氏・豊口氏合計、要確定</t>
    </r>
    <r>
      <rPr>
        <sz val="11"/>
        <color rgb="FF000000"/>
        <rFont val="Arial"/>
        <family val="0"/>
        <charset val="1"/>
      </rPr>
      <t xml:space="preserve">)</t>
    </r>
  </si>
  <si>
    <r>
      <rPr>
        <sz val="11"/>
        <color rgb="FF000000"/>
        <rFont val="WenQuanYi Zen Hei"/>
        <family val="2"/>
      </rPr>
      <t xml:space="preserve">内訳・比率を確定し明記すること</t>
    </r>
    <r>
      <rPr>
        <sz val="11"/>
        <color rgb="FF000000"/>
        <rFont val="Arial"/>
        <family val="0"/>
        <charset val="1"/>
      </rPr>
      <t xml:space="preserve">(</t>
    </r>
    <r>
      <rPr>
        <sz val="11"/>
        <color rgb="FF000000"/>
        <rFont val="WenQuanYi Zen Hei"/>
        <family val="2"/>
      </rPr>
      <t xml:space="preserve">現状仮置き</t>
    </r>
    <r>
      <rPr>
        <sz val="11"/>
        <color rgb="FF000000"/>
        <rFont val="Arial"/>
        <family val="0"/>
        <charset val="1"/>
      </rPr>
      <t xml:space="preserve">)</t>
    </r>
  </si>
  <si>
    <r>
      <rPr>
        <sz val="11"/>
        <color rgb="FF000000"/>
        <rFont val="WenQuanYi Zen Hei"/>
        <family val="2"/>
      </rPr>
      <t xml:space="preserve">日本政策金融公庫 創業融資</t>
    </r>
    <r>
      <rPr>
        <sz val="11"/>
        <color rgb="FF000000"/>
        <rFont val="Arial"/>
        <family val="0"/>
        <charset val="1"/>
      </rPr>
      <t xml:space="preserve">(</t>
    </r>
    <r>
      <rPr>
        <sz val="11"/>
        <color rgb="FF000000"/>
        <rFont val="WenQuanYi Zen Hei"/>
        <family val="2"/>
      </rPr>
      <t xml:space="preserve">要申込・審査</t>
    </r>
    <r>
      <rPr>
        <sz val="11"/>
        <color rgb="FF000000"/>
        <rFont val="Arial"/>
        <family val="0"/>
        <charset val="1"/>
      </rPr>
      <t xml:space="preserve">)</t>
    </r>
  </si>
  <si>
    <t xml:space="preserve">自己資金比率・据置提案・事業計画の説得力次第で変動。複数行への相談を並行</t>
  </si>
  <si>
    <r>
      <rPr>
        <sz val="11"/>
        <color rgb="FF000000"/>
        <rFont val="WenQuanYi Zen Hei"/>
        <family val="2"/>
      </rPr>
      <t xml:space="preserve">会長からの借入</t>
    </r>
    <r>
      <rPr>
        <sz val="11"/>
        <color rgb="FF000000"/>
        <rFont val="Arial"/>
        <family val="0"/>
        <charset val="1"/>
      </rPr>
      <t xml:space="preserve">(</t>
    </r>
    <r>
      <rPr>
        <sz val="11"/>
        <color rgb="FF000000"/>
        <rFont val="WenQuanYi Zen Hei"/>
        <family val="2"/>
      </rPr>
      <t xml:space="preserve">シナリオ</t>
    </r>
    <r>
      <rPr>
        <sz val="11"/>
        <color rgb="FF000000"/>
        <rFont val="Arial"/>
        <family val="0"/>
        <charset val="1"/>
      </rPr>
      <t xml:space="preserve">B</t>
    </r>
    <r>
      <rPr>
        <sz val="11"/>
        <color rgb="FF000000"/>
        <rFont val="WenQuanYi Zen Hei"/>
        <family val="2"/>
      </rPr>
      <t xml:space="preserve">、要交渉</t>
    </r>
    <r>
      <rPr>
        <sz val="11"/>
        <color rgb="FF000000"/>
        <rFont val="Arial"/>
        <family val="0"/>
        <charset val="1"/>
      </rPr>
      <t xml:space="preserve">)</t>
    </r>
  </si>
  <si>
    <r>
      <rPr>
        <sz val="11"/>
        <color rgb="FF000000"/>
        <rFont val="WenQuanYi Zen Hei"/>
        <family val="2"/>
      </rPr>
      <t xml:space="preserve">「資金調達</t>
    </r>
    <r>
      <rPr>
        <sz val="11"/>
        <color rgb="FF000000"/>
        <rFont val="Arial"/>
        <family val="0"/>
        <charset val="1"/>
      </rPr>
      <t xml:space="preserve">(</t>
    </r>
    <r>
      <rPr>
        <sz val="11"/>
        <color rgb="FF000000"/>
        <rFont val="WenQuanYi Zen Hei"/>
        <family val="2"/>
      </rPr>
      <t xml:space="preserve">会長借入</t>
    </r>
    <r>
      <rPr>
        <sz val="11"/>
        <color rgb="FF000000"/>
        <rFont val="Arial"/>
        <family val="0"/>
        <charset val="1"/>
      </rPr>
      <t xml:space="preserve">)</t>
    </r>
    <r>
      <rPr>
        <sz val="11"/>
        <color rgb="FF000000"/>
        <rFont val="WenQuanYi Zen Hei"/>
        <family val="2"/>
      </rPr>
      <t xml:space="preserve">」シート参照。金額・金利は未確定</t>
    </r>
  </si>
  <si>
    <r>
      <rPr>
        <sz val="11"/>
        <color rgb="FF000000"/>
        <rFont val="WenQuanYi Zen Hei"/>
        <family val="2"/>
      </rPr>
      <t xml:space="preserve">地方銀行・信用金庫 制度融資</t>
    </r>
    <r>
      <rPr>
        <sz val="11"/>
        <color rgb="FF000000"/>
        <rFont val="Arial"/>
        <family val="0"/>
        <charset val="1"/>
      </rPr>
      <t xml:space="preserve">(</t>
    </r>
    <r>
      <rPr>
        <sz val="11"/>
        <color rgb="FF000000"/>
        <rFont val="WenQuanYi Zen Hei"/>
        <family val="2"/>
      </rPr>
      <t xml:space="preserve">要申込・審査</t>
    </r>
    <r>
      <rPr>
        <sz val="11"/>
        <color rgb="FF000000"/>
        <rFont val="Arial"/>
        <family val="0"/>
        <charset val="1"/>
      </rPr>
      <t xml:space="preserve">)</t>
    </r>
  </si>
  <si>
    <t xml:space="preserve">公庫と併用可能な制度融資の活用を検討</t>
  </si>
  <si>
    <t xml:space="preserve">調達合計</t>
  </si>
  <si>
    <r>
      <rPr>
        <b val="true"/>
        <sz val="11"/>
        <rFont val="WenQuanYi Zen Hei"/>
        <family val="2"/>
      </rPr>
      <t xml:space="preserve">過不足</t>
    </r>
    <r>
      <rPr>
        <b val="true"/>
        <sz val="11"/>
        <rFont val="Arial"/>
        <family val="0"/>
        <charset val="1"/>
      </rPr>
      <t xml:space="preserve">(</t>
    </r>
    <r>
      <rPr>
        <b val="true"/>
        <sz val="11"/>
        <rFont val="WenQuanYi Zen Hei"/>
        <family val="2"/>
      </rPr>
      <t xml:space="preserve">調達合計－使途合計。マイナス＝資金ギャップ</t>
    </r>
    <r>
      <rPr>
        <b val="true"/>
        <sz val="11"/>
        <rFont val="Arial"/>
        <family val="0"/>
        <charset val="1"/>
      </rPr>
      <t xml:space="preserve">)</t>
    </r>
  </si>
  <si>
    <r>
      <rPr>
        <sz val="11"/>
        <color theme="1"/>
        <rFont val="WenQuanYi Zen Hei"/>
        <family val="2"/>
      </rPr>
      <t xml:space="preserve">ギャップが生じる場合の対応レバー</t>
    </r>
    <r>
      <rPr>
        <sz val="11"/>
        <color theme="1"/>
        <rFont val="Calibri"/>
        <family val="2"/>
        <charset val="1"/>
      </rPr>
      <t xml:space="preserve">(</t>
    </r>
    <r>
      <rPr>
        <sz val="11"/>
        <color theme="1"/>
        <rFont val="WenQuanYi Zen Hei"/>
        <family val="2"/>
      </rPr>
      <t xml:space="preserve">優先順、経営方針決定〈理念優先〉を反映</t>
    </r>
    <r>
      <rPr>
        <sz val="11"/>
        <color theme="1"/>
        <rFont val="Calibri"/>
        <family val="2"/>
        <charset val="1"/>
      </rPr>
      <t xml:space="preserve">): ①</t>
    </r>
    <r>
      <rPr>
        <sz val="11"/>
        <color theme="1"/>
        <rFont val="WenQuanYi Zen Hei"/>
        <family val="2"/>
      </rPr>
      <t xml:space="preserve">人員配置体制加算Ⅲの取得</t>
    </r>
    <r>
      <rPr>
        <sz val="11"/>
        <color theme="1"/>
        <rFont val="Calibri"/>
        <family val="2"/>
        <charset val="1"/>
      </rPr>
      <t xml:space="preserve">(</t>
    </r>
    <r>
      <rPr>
        <sz val="11"/>
        <color theme="1"/>
        <rFont val="WenQuanYi Zen Hei"/>
        <family val="2"/>
      </rPr>
      <t xml:space="preserve">収支計画</t>
    </r>
    <r>
      <rPr>
        <sz val="11"/>
        <color theme="1"/>
        <rFont val="Calibri"/>
        <family val="2"/>
        <charset val="1"/>
      </rPr>
      <t xml:space="preserve">5</t>
    </r>
    <r>
      <rPr>
        <sz val="11"/>
        <color theme="1"/>
        <rFont val="WenQuanYi Zen Hei"/>
        <family val="2"/>
      </rPr>
      <t xml:space="preserve">年シートに反映済み。</t>
    </r>
    <r>
      <rPr>
        <sz val="11"/>
        <color theme="1"/>
        <rFont val="Calibri"/>
        <family val="2"/>
        <charset val="1"/>
      </rPr>
      <t xml:space="preserve">Year3</t>
    </r>
    <r>
      <rPr>
        <sz val="11"/>
        <color theme="1"/>
        <rFont val="WenQuanYi Zen Hei"/>
        <family val="2"/>
      </rPr>
      <t xml:space="preserve">以降で発動</t>
    </r>
    <r>
      <rPr>
        <sz val="11"/>
        <color theme="1"/>
        <rFont val="Calibri"/>
        <family val="2"/>
        <charset val="1"/>
      </rPr>
      <t xml:space="preserve">)</t>
    </r>
    <r>
      <rPr>
        <sz val="11"/>
        <color theme="1"/>
        <rFont val="WenQuanYi Zen Hei"/>
        <family val="2"/>
      </rPr>
      <t xml:space="preserve">に加え、重度障害者支援加算Ⅲ等の取り漏れ加算の追加取得を検討する</t>
    </r>
    <r>
      <rPr>
        <sz val="11"/>
        <color theme="1"/>
        <rFont val="Calibri"/>
        <family val="2"/>
        <charset val="1"/>
      </rPr>
      <t xml:space="preserve">(</t>
    </r>
    <r>
      <rPr>
        <sz val="11"/>
        <color theme="1"/>
        <rFont val="WenQuanYi Zen Hei"/>
        <family val="2"/>
      </rPr>
      <t xml:space="preserve">人員配置を法定最低ラインへ圧縮するレバーは、理念実現を優先する経営方針により採用しない</t>
    </r>
    <r>
      <rPr>
        <sz val="11"/>
        <color theme="1"/>
        <rFont val="Calibri"/>
        <family val="2"/>
        <charset val="1"/>
      </rPr>
      <t xml:space="preserve">) ②</t>
    </r>
    <r>
      <rPr>
        <sz val="11"/>
        <color theme="1"/>
        <rFont val="WenQuanYi Zen Hei"/>
        <family val="2"/>
      </rPr>
      <t xml:space="preserve">居抜き物件の徹底活用で内装費を圧縮 ③内装・什器の仕様グレードダウン ④自己資金の積み増し</t>
    </r>
    <r>
      <rPr>
        <sz val="11"/>
        <color theme="1"/>
        <rFont val="Calibri"/>
        <family val="2"/>
        <charset val="1"/>
      </rPr>
      <t xml:space="preserve">(</t>
    </r>
    <r>
      <rPr>
        <sz val="11"/>
        <color theme="1"/>
        <rFont val="WenQuanYi Zen Hei"/>
        <family val="2"/>
      </rPr>
      <t xml:space="preserve">自己資金比率は融資審査にも直結</t>
    </r>
    <r>
      <rPr>
        <sz val="11"/>
        <color theme="1"/>
        <rFont val="Calibri"/>
        <family val="2"/>
        <charset val="1"/>
      </rPr>
      <t xml:space="preserve">) ⑤</t>
    </r>
    <r>
      <rPr>
        <sz val="11"/>
        <color theme="1"/>
        <rFont val="WenQuanYi Zen Hei"/>
        <family val="2"/>
      </rPr>
      <t xml:space="preserve">会長借入の増額交渉 ⑥地方銀行・信用金庫の制度融資の追加活用 ⑦多機能型化</t>
    </r>
    <r>
      <rPr>
        <sz val="11"/>
        <color theme="1"/>
        <rFont val="Calibri"/>
        <family val="2"/>
        <charset val="1"/>
      </rPr>
      <t xml:space="preserve">(</t>
    </r>
    <r>
      <rPr>
        <sz val="11"/>
        <color theme="1"/>
        <rFont val="WenQuanYi Zen Hei"/>
        <family val="2"/>
      </rPr>
      <t xml:space="preserve">生活介護単独の最低定員</t>
    </r>
    <r>
      <rPr>
        <sz val="11"/>
        <color theme="1"/>
        <rFont val="Calibri"/>
        <family val="2"/>
        <charset val="1"/>
      </rPr>
      <t xml:space="preserve">20</t>
    </r>
    <r>
      <rPr>
        <sz val="11"/>
        <color theme="1"/>
        <rFont val="WenQuanYi Zen Hei"/>
        <family val="2"/>
      </rPr>
      <t xml:space="preserve">名は変更不可のため、定員縮小ではなく他事業との組み合わせで固定費を分散する</t>
    </r>
    <r>
      <rPr>
        <sz val="11"/>
        <color theme="1"/>
        <rFont val="Calibri"/>
        <family val="2"/>
        <charset val="1"/>
      </rPr>
      <t xml:space="preserve">)</t>
    </r>
  </si>
  <si>
    <r>
      <rPr>
        <b val="true"/>
        <sz val="11"/>
        <rFont val="WenQuanYi Zen Hei"/>
        <family val="2"/>
      </rPr>
      <t xml:space="preserve">【</t>
    </r>
    <r>
      <rPr>
        <b val="true"/>
        <sz val="11"/>
        <rFont val="Arial"/>
        <family val="0"/>
        <charset val="1"/>
      </rPr>
      <t xml:space="preserve">5</t>
    </r>
    <r>
      <rPr>
        <b val="true"/>
        <sz val="11"/>
        <rFont val="WenQuanYi Zen Hei"/>
        <family val="2"/>
      </rPr>
      <t xml:space="preserve">ヵ年累積を踏まえた真の必要資金・ギャップ】</t>
    </r>
    <r>
      <rPr>
        <b val="true"/>
        <sz val="11"/>
        <rFont val="Arial"/>
        <family val="0"/>
        <charset val="1"/>
      </rPr>
      <t xml:space="preserve">(</t>
    </r>
    <r>
      <rPr>
        <b val="true"/>
        <sz val="11"/>
        <rFont val="WenQuanYi Zen Hei"/>
        <family val="2"/>
      </rPr>
      <t xml:space="preserve">重要</t>
    </r>
    <r>
      <rPr>
        <b val="true"/>
        <sz val="11"/>
        <rFont val="Arial"/>
        <family val="0"/>
        <charset val="1"/>
      </rPr>
      <t xml:space="preserve">)</t>
    </r>
  </si>
  <si>
    <r>
      <rPr>
        <sz val="11"/>
        <color rgb="FF000000"/>
        <rFont val="WenQuanYi Zen Hei"/>
        <family val="2"/>
      </rPr>
      <t xml:space="preserve">設備投資等</t>
    </r>
    <r>
      <rPr>
        <sz val="11"/>
        <color rgb="FF000000"/>
        <rFont val="Arial"/>
        <family val="0"/>
        <charset val="1"/>
      </rPr>
      <t xml:space="preserve">(</t>
    </r>
    <r>
      <rPr>
        <sz val="11"/>
        <color rgb="FF000000"/>
        <rFont val="WenQuanYi Zen Hei"/>
        <family val="2"/>
      </rPr>
      <t xml:space="preserve">初期投資合計－運転資金</t>
    </r>
    <r>
      <rPr>
        <sz val="11"/>
        <color rgb="FF000000"/>
        <rFont val="Arial"/>
        <family val="0"/>
        <charset val="1"/>
      </rPr>
      <t xml:space="preserve">)</t>
    </r>
  </si>
  <si>
    <r>
      <rPr>
        <sz val="11"/>
        <color rgb="FF000000"/>
        <rFont val="Arial"/>
        <family val="0"/>
        <charset val="1"/>
      </rPr>
      <t xml:space="preserve">5</t>
    </r>
    <r>
      <rPr>
        <sz val="11"/>
        <color rgb="FF000000"/>
        <rFont val="WenQuanYi Zen Hei"/>
        <family val="2"/>
      </rPr>
      <t xml:space="preserve">ヵ年累積キャッシュフロー不足</t>
    </r>
    <r>
      <rPr>
        <sz val="11"/>
        <color rgb="FF000000"/>
        <rFont val="Arial"/>
        <family val="0"/>
        <charset val="1"/>
      </rPr>
      <t xml:space="preserve">(</t>
    </r>
    <r>
      <rPr>
        <sz val="11"/>
        <color rgb="FF000000"/>
        <rFont val="WenQuanYi Zen Hei"/>
        <family val="2"/>
      </rPr>
      <t xml:space="preserve">収支計画</t>
    </r>
    <r>
      <rPr>
        <sz val="11"/>
        <color rgb="FF000000"/>
        <rFont val="Arial"/>
        <family val="0"/>
        <charset val="1"/>
      </rPr>
      <t xml:space="preserve">5</t>
    </r>
    <r>
      <rPr>
        <sz val="11"/>
        <color rgb="FF000000"/>
        <rFont val="WenQuanYi Zen Hei"/>
        <family val="2"/>
      </rPr>
      <t xml:space="preserve">年シート</t>
    </r>
    <r>
      <rPr>
        <sz val="11"/>
        <color rgb="FF000000"/>
        <rFont val="Arial"/>
        <family val="0"/>
        <charset val="1"/>
      </rPr>
      <t xml:space="preserve">Year5</t>
    </r>
    <r>
      <rPr>
        <sz val="11"/>
        <color rgb="FF000000"/>
        <rFont val="WenQuanYi Zen Hei"/>
        <family val="2"/>
      </rPr>
      <t xml:space="preserve">時点</t>
    </r>
    <r>
      <rPr>
        <sz val="11"/>
        <color rgb="FF000000"/>
        <rFont val="Arial"/>
        <family val="0"/>
        <charset val="1"/>
      </rPr>
      <t xml:space="preserve">)</t>
    </r>
  </si>
  <si>
    <t xml:space="preserve">真の必要資金総額</t>
  </si>
  <si>
    <r>
      <rPr>
        <b val="true"/>
        <sz val="11"/>
        <rFont val="WenQuanYi Zen Hei"/>
        <family val="2"/>
      </rPr>
      <t xml:space="preserve">真の資金ギャップ</t>
    </r>
    <r>
      <rPr>
        <b val="true"/>
        <sz val="11"/>
        <rFont val="Arial"/>
        <family val="0"/>
        <charset val="1"/>
      </rPr>
      <t xml:space="preserve">(</t>
    </r>
    <r>
      <rPr>
        <b val="true"/>
        <sz val="11"/>
        <rFont val="WenQuanYi Zen Hei"/>
        <family val="2"/>
      </rPr>
      <t xml:space="preserve">調達合計－真の必要資金総額</t>
    </r>
    <r>
      <rPr>
        <b val="true"/>
        <sz val="11"/>
        <rFont val="Arial"/>
        <family val="0"/>
        <charset val="1"/>
      </rPr>
      <t xml:space="preserve">)</t>
    </r>
  </si>
  <si>
    <r>
      <rPr>
        <sz val="11"/>
        <color theme="1"/>
        <rFont val="Calibri"/>
        <family val="2"/>
        <charset val="1"/>
      </rPr>
      <t xml:space="preserve">Year1</t>
    </r>
    <r>
      <rPr>
        <sz val="11"/>
        <color theme="1"/>
        <rFont val="WenQuanYi Zen Hei"/>
        <family val="2"/>
      </rPr>
      <t xml:space="preserve">の運転資金のみを基準にした「過不足」</t>
    </r>
    <r>
      <rPr>
        <sz val="11"/>
        <color theme="1"/>
        <rFont val="Calibri"/>
        <family val="2"/>
        <charset val="1"/>
      </rPr>
      <t xml:space="preserve">(</t>
    </r>
    <r>
      <rPr>
        <sz val="11"/>
        <color theme="1"/>
        <rFont val="WenQuanYi Zen Hei"/>
        <family val="2"/>
      </rPr>
      <t xml:space="preserve">上記</t>
    </r>
    <r>
      <rPr>
        <sz val="11"/>
        <color theme="1"/>
        <rFont val="Calibri"/>
        <family val="2"/>
        <charset val="1"/>
      </rPr>
      <t xml:space="preserve">)</t>
    </r>
    <r>
      <rPr>
        <sz val="11"/>
        <color theme="1"/>
        <rFont val="WenQuanYi Zen Hei"/>
        <family val="2"/>
      </rPr>
      <t xml:space="preserve">は約▲</t>
    </r>
    <r>
      <rPr>
        <sz val="11"/>
        <color theme="1"/>
        <rFont val="Calibri"/>
        <family val="2"/>
        <charset val="1"/>
      </rPr>
      <t xml:space="preserve">2,400</t>
    </r>
    <r>
      <rPr>
        <sz val="11"/>
        <color theme="1"/>
        <rFont val="WenQuanYi Zen Hei"/>
        <family val="2"/>
      </rPr>
      <t xml:space="preserve">万円台だったが、</t>
    </r>
    <r>
      <rPr>
        <sz val="11"/>
        <color theme="1"/>
        <rFont val="Calibri"/>
        <family val="2"/>
        <charset val="1"/>
      </rPr>
      <t xml:space="preserve">Year2</t>
    </r>
    <r>
      <rPr>
        <sz val="11"/>
        <color theme="1"/>
        <rFont val="WenQuanYi Zen Hei"/>
        <family val="2"/>
      </rPr>
      <t xml:space="preserve">以降も営業赤字・現金流出が続くため、</t>
    </r>
    <r>
      <rPr>
        <sz val="11"/>
        <color theme="1"/>
        <rFont val="Calibri"/>
        <family val="2"/>
        <charset val="1"/>
      </rPr>
      <t xml:space="preserve">5</t>
    </r>
    <r>
      <rPr>
        <sz val="11"/>
        <color theme="1"/>
        <rFont val="WenQuanYi Zen Hei"/>
        <family val="2"/>
      </rPr>
      <t xml:space="preserve">ヵ年累積で見た真のギャップはこれより大幅に大きい。資金調達・会長への提案は、この「真の資金ギャップ」を基準に検討すること。</t>
    </r>
  </si>
  <si>
    <r>
      <rPr>
        <b val="true"/>
        <sz val="14"/>
        <rFont val="WenQuanYi Zen Hei"/>
        <family val="2"/>
      </rPr>
      <t xml:space="preserve">会長への借入提案・返済シミュレーション</t>
    </r>
    <r>
      <rPr>
        <b val="true"/>
        <sz val="14"/>
        <rFont val="Arial"/>
        <family val="0"/>
        <charset val="1"/>
      </rPr>
      <t xml:space="preserve">(</t>
    </r>
    <r>
      <rPr>
        <b val="true"/>
        <sz val="14"/>
        <rFont val="WenQuanYi Zen Hei"/>
        <family val="2"/>
      </rPr>
      <t xml:space="preserve">検討中のたたき台</t>
    </r>
    <r>
      <rPr>
        <b val="true"/>
        <sz val="14"/>
        <rFont val="Arial"/>
        <family val="0"/>
        <charset val="1"/>
      </rPr>
      <t xml:space="preserve">)</t>
    </r>
  </si>
  <si>
    <r>
      <rPr>
        <sz val="11"/>
        <color theme="1"/>
        <rFont val="WenQuanYi Zen Hei"/>
        <family val="2"/>
      </rPr>
      <t xml:space="preserve">青字セルが入力用です。</t>
    </r>
    <r>
      <rPr>
        <sz val="11"/>
        <color theme="1"/>
        <rFont val="Calibri"/>
        <family val="2"/>
        <charset val="1"/>
      </rPr>
      <t xml:space="preserve">5</t>
    </r>
    <r>
      <rPr>
        <sz val="11"/>
        <color theme="1"/>
        <rFont val="WenQuanYi Zen Hei"/>
        <family val="2"/>
      </rPr>
      <t xml:space="preserve">年間営業赤字が続く新設事業への無担保個人貸付として、年</t>
    </r>
    <r>
      <rPr>
        <sz val="11"/>
        <color theme="1"/>
        <rFont val="Calibri"/>
        <family val="2"/>
        <charset val="1"/>
      </rPr>
      <t xml:space="preserve">2%</t>
    </r>
    <r>
      <rPr>
        <sz val="11"/>
        <color theme="1"/>
        <rFont val="WenQuanYi Zen Hei"/>
        <family val="2"/>
      </rPr>
      <t xml:space="preserve">は市場水準から見て低すぎる</t>
    </r>
    <r>
      <rPr>
        <sz val="11"/>
        <color theme="1"/>
        <rFont val="Calibri"/>
        <family val="2"/>
        <charset val="1"/>
      </rPr>
      <t xml:space="preserve">(</t>
    </r>
    <r>
      <rPr>
        <sz val="11"/>
        <color theme="1"/>
        <rFont val="WenQuanYi Zen Hei"/>
        <family val="2"/>
      </rPr>
      <t xml:space="preserve">リスクに見合っていない</t>
    </r>
    <r>
      <rPr>
        <sz val="11"/>
        <color theme="1"/>
        <rFont val="Calibri"/>
        <family val="2"/>
        <charset val="1"/>
      </rPr>
      <t xml:space="preserve">)</t>
    </r>
    <r>
      <rPr>
        <sz val="11"/>
        <color theme="1"/>
        <rFont val="WenQuanYi Zen Hei"/>
        <family val="2"/>
      </rPr>
      <t xml:space="preserve">との指摘を踏まえ、年</t>
    </r>
    <r>
      <rPr>
        <sz val="11"/>
        <color theme="1"/>
        <rFont val="Calibri"/>
        <family val="2"/>
        <charset val="1"/>
      </rPr>
      <t xml:space="preserve">3</t>
    </r>
    <r>
      <rPr>
        <sz val="11"/>
        <color theme="1"/>
        <rFont val="WenQuanYi Zen Hei"/>
        <family val="2"/>
      </rPr>
      <t xml:space="preserve">〜</t>
    </r>
    <r>
      <rPr>
        <sz val="11"/>
        <color theme="1"/>
        <rFont val="Calibri"/>
        <family val="2"/>
        <charset val="1"/>
      </rPr>
      <t xml:space="preserve">5%</t>
    </r>
    <r>
      <rPr>
        <sz val="11"/>
        <color theme="1"/>
        <rFont val="WenQuanYi Zen Hei"/>
        <family val="2"/>
      </rPr>
      <t xml:space="preserve">を基本線としています。借入額・据置期間・返済期間・金利を変更すると返済表が自動再計算されます。実際の条件は会長との相談のうえ決定してください。</t>
    </r>
  </si>
  <si>
    <r>
      <rPr>
        <b val="true"/>
        <sz val="11"/>
        <rFont val="WenQuanYi Zen Hei"/>
        <family val="2"/>
      </rPr>
      <t xml:space="preserve">シナリオ</t>
    </r>
    <r>
      <rPr>
        <b val="true"/>
        <sz val="11"/>
        <rFont val="Arial"/>
        <family val="0"/>
        <charset val="1"/>
      </rPr>
      <t xml:space="preserve">A</t>
    </r>
    <r>
      <rPr>
        <b val="true"/>
        <sz val="11"/>
        <rFont val="WenQuanYi Zen Hei"/>
        <family val="2"/>
      </rPr>
      <t xml:space="preserve">：開設資金の一部</t>
    </r>
    <r>
      <rPr>
        <b val="true"/>
        <sz val="11"/>
        <rFont val="Arial"/>
        <family val="0"/>
        <charset val="1"/>
      </rPr>
      <t xml:space="preserve">(1,000</t>
    </r>
    <r>
      <rPr>
        <b val="true"/>
        <sz val="11"/>
        <rFont val="WenQuanYi Zen Hei"/>
        <family val="2"/>
      </rPr>
      <t xml:space="preserve">万円</t>
    </r>
    <r>
      <rPr>
        <b val="true"/>
        <sz val="11"/>
        <rFont val="Arial"/>
        <family val="0"/>
        <charset val="1"/>
      </rPr>
      <t xml:space="preserve">)</t>
    </r>
    <r>
      <rPr>
        <b val="true"/>
        <sz val="11"/>
        <rFont val="WenQuanYi Zen Hei"/>
        <family val="2"/>
      </rPr>
      <t xml:space="preserve">をお願いする場合</t>
    </r>
  </si>
  <si>
    <r>
      <rPr>
        <sz val="11"/>
        <color rgb="FF000000"/>
        <rFont val="WenQuanYi Zen Hei"/>
        <family val="2"/>
      </rPr>
      <t xml:space="preserve">借入額</t>
    </r>
    <r>
      <rPr>
        <sz val="11"/>
        <color rgb="FF000000"/>
        <rFont val="Arial"/>
        <family val="0"/>
        <charset val="1"/>
      </rPr>
      <t xml:space="preserve">(</t>
    </r>
    <r>
      <rPr>
        <sz val="11"/>
        <color rgb="FF000000"/>
        <rFont val="WenQuanYi Zen Hei"/>
        <family val="2"/>
      </rPr>
      <t xml:space="preserve">無担保想定</t>
    </r>
    <r>
      <rPr>
        <sz val="11"/>
        <color rgb="FF000000"/>
        <rFont val="Arial"/>
        <family val="0"/>
        <charset val="1"/>
      </rPr>
      <t xml:space="preserve">)</t>
    </r>
  </si>
  <si>
    <r>
      <rPr>
        <sz val="11"/>
        <color rgb="FF000000"/>
        <rFont val="WenQuanYi Zen Hei"/>
        <family val="2"/>
      </rPr>
      <t xml:space="preserve">据置期間</t>
    </r>
    <r>
      <rPr>
        <sz val="11"/>
        <color rgb="FF000000"/>
        <rFont val="Arial"/>
        <family val="0"/>
        <charset val="1"/>
      </rPr>
      <t xml:space="preserve">(</t>
    </r>
    <r>
      <rPr>
        <sz val="11"/>
        <color rgb="FF000000"/>
        <rFont val="WenQuanYi Zen Hei"/>
        <family val="2"/>
      </rPr>
      <t xml:space="preserve">利息のみ支払い</t>
    </r>
    <r>
      <rPr>
        <sz val="11"/>
        <color rgb="FF000000"/>
        <rFont val="Arial"/>
        <family val="0"/>
        <charset val="1"/>
      </rPr>
      <t xml:space="preserve">)</t>
    </r>
  </si>
  <si>
    <t xml:space="preserve">年</t>
  </si>
  <si>
    <t xml:space="preserve">据置後の元金均等返済期間</t>
  </si>
  <si>
    <r>
      <rPr>
        <sz val="11"/>
        <color rgb="FF000000"/>
        <rFont val="WenQuanYi Zen Hei"/>
        <family val="2"/>
      </rPr>
      <t xml:space="preserve">想定金利</t>
    </r>
    <r>
      <rPr>
        <sz val="11"/>
        <color rgb="FF000000"/>
        <rFont val="Arial"/>
        <family val="0"/>
        <charset val="1"/>
      </rPr>
      <t xml:space="preserve">(</t>
    </r>
    <r>
      <rPr>
        <sz val="11"/>
        <color rgb="FF000000"/>
        <rFont val="WenQuanYi Zen Hei"/>
        <family val="2"/>
      </rPr>
      <t xml:space="preserve">年率</t>
    </r>
    <r>
      <rPr>
        <sz val="11"/>
        <color rgb="FF000000"/>
        <rFont val="Arial"/>
        <family val="0"/>
        <charset val="1"/>
      </rPr>
      <t xml:space="preserve">)</t>
    </r>
  </si>
  <si>
    <r>
      <rPr>
        <sz val="11"/>
        <color rgb="FF000000"/>
        <rFont val="Arial"/>
        <family val="0"/>
        <charset val="1"/>
      </rPr>
      <t xml:space="preserve">%</t>
    </r>
    <r>
      <rPr>
        <sz val="11"/>
        <color rgb="FF000000"/>
        <rFont val="WenQuanYi Zen Hei"/>
        <family val="2"/>
      </rPr>
      <t xml:space="preserve">。無担保・</t>
    </r>
    <r>
      <rPr>
        <sz val="11"/>
        <color rgb="FF000000"/>
        <rFont val="Arial"/>
        <family val="0"/>
        <charset val="1"/>
      </rPr>
      <t xml:space="preserve">5</t>
    </r>
    <r>
      <rPr>
        <sz val="11"/>
        <color rgb="FF000000"/>
        <rFont val="WenQuanYi Zen Hei"/>
        <family val="2"/>
      </rPr>
      <t xml:space="preserve">年赤字期間ありのリスクを踏まえた水準</t>
    </r>
  </si>
  <si>
    <t xml:space="preserve">年目</t>
  </si>
  <si>
    <t xml:space="preserve">期首残高</t>
  </si>
  <si>
    <t xml:space="preserve">元金返済</t>
  </si>
  <si>
    <t xml:space="preserve">利息</t>
  </si>
  <si>
    <t xml:space="preserve">年間支払</t>
  </si>
  <si>
    <t xml:space="preserve">期末残高</t>
  </si>
  <si>
    <t xml:space="preserve">返済総額</t>
  </si>
  <si>
    <r>
      <rPr>
        <b val="true"/>
        <sz val="11"/>
        <rFont val="WenQuanYi Zen Hei"/>
        <family val="2"/>
      </rPr>
      <t xml:space="preserve">シナリオ</t>
    </r>
    <r>
      <rPr>
        <b val="true"/>
        <sz val="11"/>
        <rFont val="Arial"/>
        <family val="0"/>
        <charset val="1"/>
      </rPr>
      <t xml:space="preserve">B</t>
    </r>
    <r>
      <rPr>
        <b val="true"/>
        <sz val="11"/>
        <rFont val="WenQuanYi Zen Hei"/>
        <family val="2"/>
      </rPr>
      <t xml:space="preserve">：開設資金の一部</t>
    </r>
    <r>
      <rPr>
        <b val="true"/>
        <sz val="11"/>
        <rFont val="Arial"/>
        <family val="0"/>
        <charset val="1"/>
      </rPr>
      <t xml:space="preserve">(1,500</t>
    </r>
    <r>
      <rPr>
        <b val="true"/>
        <sz val="11"/>
        <rFont val="WenQuanYi Zen Hei"/>
        <family val="2"/>
      </rPr>
      <t xml:space="preserve">万円</t>
    </r>
    <r>
      <rPr>
        <b val="true"/>
        <sz val="11"/>
        <rFont val="Arial"/>
        <family val="0"/>
        <charset val="1"/>
      </rPr>
      <t xml:space="preserve">)</t>
    </r>
    <r>
      <rPr>
        <b val="true"/>
        <sz val="11"/>
        <rFont val="WenQuanYi Zen Hei"/>
        <family val="2"/>
      </rPr>
      <t xml:space="preserve">をお願いする場合</t>
    </r>
  </si>
  <si>
    <r>
      <rPr>
        <sz val="11"/>
        <color theme="1"/>
        <rFont val="WenQuanYi Zen Hei"/>
        <family val="2"/>
      </rPr>
      <t xml:space="preserve">※資金調達計画表のとおり、これらは開設資金全体</t>
    </r>
    <r>
      <rPr>
        <sz val="11"/>
        <color theme="1"/>
        <rFont val="Calibri"/>
        <family val="2"/>
        <charset val="1"/>
      </rPr>
      <t xml:space="preserve">(</t>
    </r>
    <r>
      <rPr>
        <sz val="11"/>
        <color theme="1"/>
        <rFont val="WenQuanYi Zen Hei"/>
        <family val="2"/>
      </rPr>
      <t xml:space="preserve">初期投資合計</t>
    </r>
    <r>
      <rPr>
        <sz val="11"/>
        <color theme="1"/>
        <rFont val="Calibri"/>
        <family val="2"/>
        <charset val="1"/>
      </rPr>
      <t xml:space="preserve">)</t>
    </r>
    <r>
      <rPr>
        <sz val="11"/>
        <color theme="1"/>
        <rFont val="WenQuanYi Zen Hei"/>
        <family val="2"/>
      </rPr>
      <t xml:space="preserve">の一部であり「ほぼ全額」ではない。残りは自己資金・日本政策金融公庫等でまかなう想定。「収支計画</t>
    </r>
    <r>
      <rPr>
        <sz val="11"/>
        <color theme="1"/>
        <rFont val="Calibri"/>
        <family val="2"/>
        <charset val="1"/>
      </rPr>
      <t xml:space="preserve">5</t>
    </r>
    <r>
      <rPr>
        <sz val="11"/>
        <color theme="1"/>
        <rFont val="WenQuanYi Zen Hei"/>
        <family val="2"/>
      </rPr>
      <t xml:space="preserve">年」シートの営業利益がマイナスの間、この返済額を営業キャッシュフローだけで賄うのは厳しいため、据置期間の延長・返済開始時期の後ろ倒しを早期に相談できる関係性を築いておくこと。無担保・低リスクではない貸付である点を会長にも正直に共有し、条件はリスクに見合う水準で提案する。</t>
    </r>
  </si>
  <si>
    <r>
      <rPr>
        <b val="true"/>
        <sz val="14"/>
        <rFont val="WenQuanYi Zen Hei"/>
        <family val="2"/>
      </rPr>
      <t xml:space="preserve">月次資金繰り</t>
    </r>
    <r>
      <rPr>
        <b val="true"/>
        <sz val="14"/>
        <rFont val="Arial"/>
        <family val="0"/>
        <charset val="1"/>
      </rPr>
      <t xml:space="preserve">(</t>
    </r>
    <r>
      <rPr>
        <b val="true"/>
        <sz val="14"/>
        <rFont val="WenQuanYi Zen Hei"/>
        <family val="2"/>
      </rPr>
      <t xml:space="preserve">開所</t>
    </r>
    <r>
      <rPr>
        <b val="true"/>
        <sz val="14"/>
        <rFont val="Arial"/>
        <family val="0"/>
        <charset val="1"/>
      </rPr>
      <t xml:space="preserve">1</t>
    </r>
    <r>
      <rPr>
        <b val="true"/>
        <sz val="14"/>
        <rFont val="WenQuanYi Zen Hei"/>
        <family val="2"/>
      </rPr>
      <t xml:space="preserve">年目</t>
    </r>
    <r>
      <rPr>
        <b val="true"/>
        <sz val="14"/>
        <rFont val="Arial"/>
        <family val="0"/>
        <charset val="1"/>
      </rPr>
      <t xml:space="preserve">) ― </t>
    </r>
    <r>
      <rPr>
        <b val="true"/>
        <sz val="14"/>
        <rFont val="WenQuanYi Zen Hei"/>
        <family val="2"/>
      </rPr>
      <t xml:space="preserve">契約者数の積み上げ方式</t>
    </r>
  </si>
  <si>
    <r>
      <rPr>
        <sz val="11"/>
        <color theme="1"/>
        <rFont val="WenQuanYi Zen Hei"/>
        <family val="2"/>
      </rPr>
      <t xml:space="preserve">年次モデル</t>
    </r>
    <r>
      <rPr>
        <sz val="11"/>
        <color theme="1"/>
        <rFont val="Calibri"/>
        <family val="2"/>
        <charset val="1"/>
      </rPr>
      <t xml:space="preserve">(</t>
    </r>
    <r>
      <rPr>
        <sz val="11"/>
        <color theme="1"/>
        <rFont val="WenQuanYi Zen Hei"/>
        <family val="2"/>
      </rPr>
      <t xml:space="preserve">稼働率</t>
    </r>
    <r>
      <rPr>
        <sz val="11"/>
        <color theme="1"/>
        <rFont val="Calibri"/>
        <family val="2"/>
        <charset val="1"/>
      </rPr>
      <t xml:space="preserve">60%</t>
    </r>
    <r>
      <rPr>
        <sz val="11"/>
        <color theme="1"/>
        <rFont val="WenQuanYi Zen Hei"/>
        <family val="2"/>
      </rPr>
      <t xml:space="preserve">固定</t>
    </r>
    <r>
      <rPr>
        <sz val="11"/>
        <color theme="1"/>
        <rFont val="Calibri"/>
        <family val="2"/>
        <charset val="1"/>
      </rPr>
      <t xml:space="preserve">)</t>
    </r>
    <r>
      <rPr>
        <sz val="11"/>
        <color theme="1"/>
        <rFont val="WenQuanYi Zen Hei"/>
        <family val="2"/>
      </rPr>
      <t xml:space="preserve">は開所初日から平均</t>
    </r>
    <r>
      <rPr>
        <sz val="11"/>
        <color theme="1"/>
        <rFont val="Calibri"/>
        <family val="2"/>
        <charset val="1"/>
      </rPr>
      <t xml:space="preserve">12</t>
    </r>
    <r>
      <rPr>
        <sz val="11"/>
        <color theme="1"/>
        <rFont val="WenQuanYi Zen Hei"/>
        <family val="2"/>
      </rPr>
      <t xml:space="preserve">名が通所する前提となり非現実的なため、契約者数を月次で積み上げるモデルに置き換えた。報酬入金は請求の翌々月中旬</t>
    </r>
    <r>
      <rPr>
        <sz val="11"/>
        <color theme="1"/>
        <rFont val="Calibri"/>
        <family val="2"/>
        <charset val="1"/>
      </rPr>
      <t xml:space="preserve">(</t>
    </r>
    <r>
      <rPr>
        <sz val="11"/>
        <color theme="1"/>
        <rFont val="WenQuanYi Zen Hei"/>
        <family val="2"/>
      </rPr>
      <t xml:space="preserve">約</t>
    </r>
    <r>
      <rPr>
        <sz val="11"/>
        <color theme="1"/>
        <rFont val="Calibri"/>
        <family val="2"/>
        <charset val="1"/>
      </rPr>
      <t xml:space="preserve">2.5</t>
    </r>
    <r>
      <rPr>
        <sz val="11"/>
        <color theme="1"/>
        <rFont val="WenQuanYi Zen Hei"/>
        <family val="2"/>
      </rPr>
      <t xml:space="preserve">か月ラグ</t>
    </r>
    <r>
      <rPr>
        <sz val="11"/>
        <color theme="1"/>
        <rFont val="Calibri"/>
        <family val="2"/>
        <charset val="1"/>
      </rPr>
      <t xml:space="preserve">)</t>
    </r>
    <r>
      <rPr>
        <sz val="11"/>
        <color theme="1"/>
        <rFont val="WenQuanYi Zen Hei"/>
        <family val="2"/>
      </rPr>
      <t xml:space="preserve">であるため、月</t>
    </r>
    <r>
      <rPr>
        <sz val="11"/>
        <color theme="1"/>
        <rFont val="Calibri"/>
        <family val="2"/>
        <charset val="1"/>
      </rPr>
      <t xml:space="preserve">1</t>
    </r>
    <r>
      <rPr>
        <sz val="11"/>
        <color theme="1"/>
        <rFont val="WenQuanYi Zen Hei"/>
        <family val="2"/>
      </rPr>
      <t xml:space="preserve">・月</t>
    </r>
    <r>
      <rPr>
        <sz val="11"/>
        <color theme="1"/>
        <rFont val="Calibri"/>
        <family val="2"/>
        <charset val="1"/>
      </rPr>
      <t xml:space="preserve">2</t>
    </r>
    <r>
      <rPr>
        <sz val="11"/>
        <color theme="1"/>
        <rFont val="WenQuanYi Zen Hei"/>
        <family val="2"/>
      </rPr>
      <t xml:space="preserve">はサービス提供があっても入金はゼロ。青字セルが入力用。</t>
    </r>
  </si>
  <si>
    <r>
      <rPr>
        <b val="true"/>
        <sz val="11"/>
        <color rgb="FFFFFFFF"/>
        <rFont val="WenQuanYi Zen Hei"/>
        <family val="2"/>
      </rPr>
      <t xml:space="preserve">月</t>
    </r>
    <r>
      <rPr>
        <b val="true"/>
        <sz val="11"/>
        <color rgb="FFFFFFFF"/>
        <rFont val="Arial"/>
        <family val="0"/>
        <charset val="1"/>
      </rPr>
      <t xml:space="preserve">1</t>
    </r>
  </si>
  <si>
    <r>
      <rPr>
        <b val="true"/>
        <sz val="11"/>
        <color rgb="FFFFFFFF"/>
        <rFont val="WenQuanYi Zen Hei"/>
        <family val="2"/>
      </rPr>
      <t xml:space="preserve">月</t>
    </r>
    <r>
      <rPr>
        <b val="true"/>
        <sz val="11"/>
        <color rgb="FFFFFFFF"/>
        <rFont val="Arial"/>
        <family val="0"/>
        <charset val="1"/>
      </rPr>
      <t xml:space="preserve">2</t>
    </r>
  </si>
  <si>
    <r>
      <rPr>
        <b val="true"/>
        <sz val="11"/>
        <color rgb="FFFFFFFF"/>
        <rFont val="WenQuanYi Zen Hei"/>
        <family val="2"/>
      </rPr>
      <t xml:space="preserve">月</t>
    </r>
    <r>
      <rPr>
        <b val="true"/>
        <sz val="11"/>
        <color rgb="FFFFFFFF"/>
        <rFont val="Arial"/>
        <family val="0"/>
        <charset val="1"/>
      </rPr>
      <t xml:space="preserve">3</t>
    </r>
  </si>
  <si>
    <r>
      <rPr>
        <b val="true"/>
        <sz val="11"/>
        <color rgb="FFFFFFFF"/>
        <rFont val="WenQuanYi Zen Hei"/>
        <family val="2"/>
      </rPr>
      <t xml:space="preserve">月</t>
    </r>
    <r>
      <rPr>
        <b val="true"/>
        <sz val="11"/>
        <color rgb="FFFFFFFF"/>
        <rFont val="Arial"/>
        <family val="0"/>
        <charset val="1"/>
      </rPr>
      <t xml:space="preserve">4</t>
    </r>
  </si>
  <si>
    <r>
      <rPr>
        <b val="true"/>
        <sz val="11"/>
        <color rgb="FFFFFFFF"/>
        <rFont val="WenQuanYi Zen Hei"/>
        <family val="2"/>
      </rPr>
      <t xml:space="preserve">月</t>
    </r>
    <r>
      <rPr>
        <b val="true"/>
        <sz val="11"/>
        <color rgb="FFFFFFFF"/>
        <rFont val="Arial"/>
        <family val="0"/>
        <charset val="1"/>
      </rPr>
      <t xml:space="preserve">5</t>
    </r>
  </si>
  <si>
    <r>
      <rPr>
        <b val="true"/>
        <sz val="11"/>
        <color rgb="FFFFFFFF"/>
        <rFont val="WenQuanYi Zen Hei"/>
        <family val="2"/>
      </rPr>
      <t xml:space="preserve">月</t>
    </r>
    <r>
      <rPr>
        <b val="true"/>
        <sz val="11"/>
        <color rgb="FFFFFFFF"/>
        <rFont val="Arial"/>
        <family val="0"/>
        <charset val="1"/>
      </rPr>
      <t xml:space="preserve">6</t>
    </r>
  </si>
  <si>
    <r>
      <rPr>
        <b val="true"/>
        <sz val="11"/>
        <color rgb="FFFFFFFF"/>
        <rFont val="WenQuanYi Zen Hei"/>
        <family val="2"/>
      </rPr>
      <t xml:space="preserve">月</t>
    </r>
    <r>
      <rPr>
        <b val="true"/>
        <sz val="11"/>
        <color rgb="FFFFFFFF"/>
        <rFont val="Arial"/>
        <family val="0"/>
        <charset val="1"/>
      </rPr>
      <t xml:space="preserve">7</t>
    </r>
  </si>
  <si>
    <r>
      <rPr>
        <b val="true"/>
        <sz val="11"/>
        <color rgb="FFFFFFFF"/>
        <rFont val="WenQuanYi Zen Hei"/>
        <family val="2"/>
      </rPr>
      <t xml:space="preserve">月</t>
    </r>
    <r>
      <rPr>
        <b val="true"/>
        <sz val="11"/>
        <color rgb="FFFFFFFF"/>
        <rFont val="Arial"/>
        <family val="0"/>
        <charset val="1"/>
      </rPr>
      <t xml:space="preserve">8</t>
    </r>
  </si>
  <si>
    <r>
      <rPr>
        <b val="true"/>
        <sz val="11"/>
        <color rgb="FFFFFFFF"/>
        <rFont val="WenQuanYi Zen Hei"/>
        <family val="2"/>
      </rPr>
      <t xml:space="preserve">月</t>
    </r>
    <r>
      <rPr>
        <b val="true"/>
        <sz val="11"/>
        <color rgb="FFFFFFFF"/>
        <rFont val="Arial"/>
        <family val="0"/>
        <charset val="1"/>
      </rPr>
      <t xml:space="preserve">9</t>
    </r>
  </si>
  <si>
    <r>
      <rPr>
        <b val="true"/>
        <sz val="11"/>
        <color rgb="FFFFFFFF"/>
        <rFont val="WenQuanYi Zen Hei"/>
        <family val="2"/>
      </rPr>
      <t xml:space="preserve">月</t>
    </r>
    <r>
      <rPr>
        <b val="true"/>
        <sz val="11"/>
        <color rgb="FFFFFFFF"/>
        <rFont val="Arial"/>
        <family val="0"/>
        <charset val="1"/>
      </rPr>
      <t xml:space="preserve">10</t>
    </r>
  </si>
  <si>
    <r>
      <rPr>
        <b val="true"/>
        <sz val="11"/>
        <color rgb="FFFFFFFF"/>
        <rFont val="WenQuanYi Zen Hei"/>
        <family val="2"/>
      </rPr>
      <t xml:space="preserve">月</t>
    </r>
    <r>
      <rPr>
        <b val="true"/>
        <sz val="11"/>
        <color rgb="FFFFFFFF"/>
        <rFont val="Arial"/>
        <family val="0"/>
        <charset val="1"/>
      </rPr>
      <t xml:space="preserve">11</t>
    </r>
  </si>
  <si>
    <r>
      <rPr>
        <b val="true"/>
        <sz val="11"/>
        <color rgb="FFFFFFFF"/>
        <rFont val="WenQuanYi Zen Hei"/>
        <family val="2"/>
      </rPr>
      <t xml:space="preserve">月</t>
    </r>
    <r>
      <rPr>
        <b val="true"/>
        <sz val="11"/>
        <color rgb="FFFFFFFF"/>
        <rFont val="Arial"/>
        <family val="0"/>
        <charset val="1"/>
      </rPr>
      <t xml:space="preserve">12</t>
    </r>
  </si>
  <si>
    <r>
      <rPr>
        <sz val="11"/>
        <color rgb="FF000000"/>
        <rFont val="WenQuanYi Zen Hei"/>
        <family val="2"/>
      </rPr>
      <t xml:space="preserve">契約者数</t>
    </r>
    <r>
      <rPr>
        <sz val="11"/>
        <color rgb="FF000000"/>
        <rFont val="Arial"/>
        <family val="0"/>
        <charset val="1"/>
      </rPr>
      <t xml:space="preserve">(</t>
    </r>
    <r>
      <rPr>
        <sz val="11"/>
        <color rgb="FF000000"/>
        <rFont val="WenQuanYi Zen Hei"/>
        <family val="2"/>
      </rPr>
      <t xml:space="preserve">月末、入力</t>
    </r>
    <r>
      <rPr>
        <sz val="11"/>
        <color rgb="FF000000"/>
        <rFont val="Arial"/>
        <family val="0"/>
        <charset val="1"/>
      </rPr>
      <t xml:space="preserve">)</t>
    </r>
  </si>
  <si>
    <r>
      <rPr>
        <sz val="11"/>
        <color rgb="FF000000"/>
        <rFont val="WenQuanYi Zen Hei"/>
        <family val="2"/>
      </rPr>
      <t xml:space="preserve">出席率</t>
    </r>
    <r>
      <rPr>
        <sz val="11"/>
        <color rgb="FF000000"/>
        <rFont val="Arial"/>
        <family val="0"/>
        <charset val="1"/>
      </rPr>
      <t xml:space="preserve">(</t>
    </r>
    <r>
      <rPr>
        <sz val="11"/>
        <color rgb="FF000000"/>
        <rFont val="WenQuanYi Zen Hei"/>
        <family val="2"/>
      </rPr>
      <t xml:space="preserve">想定</t>
    </r>
    <r>
      <rPr>
        <sz val="11"/>
        <color rgb="FF000000"/>
        <rFont val="Arial"/>
        <family val="0"/>
        <charset val="1"/>
      </rPr>
      <t xml:space="preserve">)</t>
    </r>
  </si>
  <si>
    <r>
      <rPr>
        <sz val="11"/>
        <color rgb="FF000000"/>
        <rFont val="WenQuanYi Zen Hei"/>
        <family val="2"/>
      </rPr>
      <t xml:space="preserve">開所日数</t>
    </r>
    <r>
      <rPr>
        <sz val="11"/>
        <color rgb="FF000000"/>
        <rFont val="Arial"/>
        <family val="0"/>
        <charset val="1"/>
      </rPr>
      <t xml:space="preserve">(</t>
    </r>
    <r>
      <rPr>
        <sz val="11"/>
        <color rgb="FF000000"/>
        <rFont val="WenQuanYi Zen Hei"/>
        <family val="2"/>
      </rPr>
      <t xml:space="preserve">月間、概算</t>
    </r>
    <r>
      <rPr>
        <sz val="11"/>
        <color rgb="FF000000"/>
        <rFont val="Arial"/>
        <family val="0"/>
        <charset val="1"/>
      </rPr>
      <t xml:space="preserve">)</t>
    </r>
  </si>
  <si>
    <t xml:space="preserve">日平均利用者数</t>
  </si>
  <si>
    <r>
      <rPr>
        <sz val="11"/>
        <color rgb="FF000000"/>
        <rFont val="WenQuanYi Zen Hei"/>
        <family val="2"/>
      </rPr>
      <t xml:space="preserve">稼働率</t>
    </r>
    <r>
      <rPr>
        <sz val="11"/>
        <color rgb="FF000000"/>
        <rFont val="Arial"/>
        <family val="0"/>
        <charset val="1"/>
      </rPr>
      <t xml:space="preserve">(</t>
    </r>
    <r>
      <rPr>
        <sz val="11"/>
        <color rgb="FF000000"/>
        <rFont val="WenQuanYi Zen Hei"/>
        <family val="2"/>
      </rPr>
      <t xml:space="preserve">参考</t>
    </r>
    <r>
      <rPr>
        <sz val="11"/>
        <color rgb="FF000000"/>
        <rFont val="Arial"/>
        <family val="0"/>
        <charset val="1"/>
      </rPr>
      <t xml:space="preserve">)</t>
    </r>
  </si>
  <si>
    <r>
      <rPr>
        <sz val="11"/>
        <color rgb="FF000000"/>
        <rFont val="Arial"/>
        <family val="0"/>
        <charset val="1"/>
      </rPr>
      <t xml:space="preserve">1</t>
    </r>
    <r>
      <rPr>
        <sz val="11"/>
        <color rgb="FF000000"/>
        <rFont val="WenQuanYi Zen Hei"/>
        <family val="2"/>
      </rPr>
      <t xml:space="preserve">人</t>
    </r>
    <r>
      <rPr>
        <sz val="11"/>
        <color rgb="FF000000"/>
        <rFont val="Arial"/>
        <family val="0"/>
        <charset val="1"/>
      </rPr>
      <t xml:space="preserve">1</t>
    </r>
    <r>
      <rPr>
        <sz val="11"/>
        <color rgb="FF000000"/>
        <rFont val="WenQuanYi Zen Hei"/>
        <family val="2"/>
      </rPr>
      <t xml:space="preserve">日あたり収入</t>
    </r>
    <r>
      <rPr>
        <sz val="11"/>
        <color rgb="FF000000"/>
        <rFont val="Arial"/>
        <family val="0"/>
        <charset val="1"/>
      </rPr>
      <t xml:space="preserve">(</t>
    </r>
    <r>
      <rPr>
        <sz val="11"/>
        <color rgb="FF000000"/>
        <rFont val="WenQuanYi Zen Hei"/>
        <family val="2"/>
      </rPr>
      <t xml:space="preserve">基本</t>
    </r>
    <r>
      <rPr>
        <sz val="11"/>
        <color rgb="FF000000"/>
        <rFont val="Arial"/>
        <family val="0"/>
        <charset val="1"/>
      </rPr>
      <t xml:space="preserve">+</t>
    </r>
    <r>
      <rPr>
        <sz val="11"/>
        <color rgb="FF000000"/>
        <rFont val="WenQuanYi Zen Hei"/>
        <family val="2"/>
      </rPr>
      <t xml:space="preserve">送迎</t>
    </r>
    <r>
      <rPr>
        <sz val="11"/>
        <color rgb="FF000000"/>
        <rFont val="Arial"/>
        <family val="0"/>
        <charset val="1"/>
      </rPr>
      <t xml:space="preserve">+</t>
    </r>
    <r>
      <rPr>
        <sz val="11"/>
        <color rgb="FF000000"/>
        <rFont val="WenQuanYi Zen Hei"/>
        <family val="2"/>
      </rPr>
      <t xml:space="preserve">処遇改善</t>
    </r>
    <r>
      <rPr>
        <sz val="11"/>
        <color rgb="FF000000"/>
        <rFont val="Arial"/>
        <family val="0"/>
        <charset val="1"/>
      </rPr>
      <t xml:space="preserve">)</t>
    </r>
  </si>
  <si>
    <r>
      <rPr>
        <sz val="11"/>
        <color rgb="FF000000"/>
        <rFont val="WenQuanYi Zen Hei"/>
        <family val="2"/>
      </rPr>
      <t xml:space="preserve">当月発生収入</t>
    </r>
    <r>
      <rPr>
        <sz val="11"/>
        <color rgb="FF000000"/>
        <rFont val="Arial"/>
        <family val="0"/>
        <charset val="1"/>
      </rPr>
      <t xml:space="preserve">(</t>
    </r>
    <r>
      <rPr>
        <sz val="11"/>
        <color rgb="FF000000"/>
        <rFont val="WenQuanYi Zen Hei"/>
        <family val="2"/>
      </rPr>
      <t xml:space="preserve">サービス提供分</t>
    </r>
    <r>
      <rPr>
        <sz val="11"/>
        <color rgb="FF000000"/>
        <rFont val="Arial"/>
        <family val="0"/>
        <charset val="1"/>
      </rPr>
      <t xml:space="preserve">)</t>
    </r>
  </si>
  <si>
    <r>
      <rPr>
        <sz val="11"/>
        <color rgb="FF000000"/>
        <rFont val="WenQuanYi Zen Hei"/>
        <family val="2"/>
      </rPr>
      <t xml:space="preserve">当月入金</t>
    </r>
    <r>
      <rPr>
        <sz val="11"/>
        <color rgb="FF000000"/>
        <rFont val="Arial"/>
        <family val="0"/>
        <charset val="1"/>
      </rPr>
      <t xml:space="preserve">(</t>
    </r>
    <r>
      <rPr>
        <sz val="11"/>
        <color rgb="FF000000"/>
        <rFont val="WenQuanYi Zen Hei"/>
        <family val="2"/>
      </rPr>
      <t xml:space="preserve">翌々月ラグ反映</t>
    </r>
    <r>
      <rPr>
        <sz val="11"/>
        <color rgb="FF000000"/>
        <rFont val="Arial"/>
        <family val="0"/>
        <charset val="1"/>
      </rPr>
      <t xml:space="preserve">)</t>
    </r>
  </si>
  <si>
    <r>
      <rPr>
        <sz val="11"/>
        <color rgb="FF000000"/>
        <rFont val="WenQuanYi Zen Hei"/>
        <family val="2"/>
      </rPr>
      <t xml:space="preserve">当月支出</t>
    </r>
    <r>
      <rPr>
        <sz val="11"/>
        <color rgb="FF000000"/>
        <rFont val="Arial"/>
        <family val="0"/>
        <charset val="1"/>
      </rPr>
      <t xml:space="preserve">(</t>
    </r>
    <r>
      <rPr>
        <sz val="11"/>
        <color rgb="FF000000"/>
        <rFont val="WenQuanYi Zen Hei"/>
        <family val="2"/>
      </rPr>
      <t xml:space="preserve">人件費</t>
    </r>
    <r>
      <rPr>
        <sz val="11"/>
        <color rgb="FF000000"/>
        <rFont val="Arial"/>
        <family val="0"/>
        <charset val="1"/>
      </rPr>
      <t xml:space="preserve">/12</t>
    </r>
    <r>
      <rPr>
        <sz val="11"/>
        <color rgb="FF000000"/>
        <rFont val="WenQuanYi Zen Hei"/>
        <family val="2"/>
      </rPr>
      <t xml:space="preserve">＋家賃＋その他経費</t>
    </r>
    <r>
      <rPr>
        <sz val="11"/>
        <color rgb="FF000000"/>
        <rFont val="Arial"/>
        <family val="0"/>
        <charset val="1"/>
      </rPr>
      <t xml:space="preserve">/12</t>
    </r>
    <r>
      <rPr>
        <sz val="11"/>
        <color rgb="FF000000"/>
        <rFont val="WenQuanYi Zen Hei"/>
        <family val="2"/>
      </rPr>
      <t xml:space="preserve">＋車両費</t>
    </r>
    <r>
      <rPr>
        <sz val="11"/>
        <color rgb="FF000000"/>
        <rFont val="Arial"/>
        <family val="0"/>
        <charset val="1"/>
      </rPr>
      <t xml:space="preserve">/12)</t>
    </r>
  </si>
  <si>
    <r>
      <rPr>
        <b val="true"/>
        <sz val="11"/>
        <rFont val="WenQuanYi Zen Hei"/>
        <family val="2"/>
      </rPr>
      <t xml:space="preserve">単月収支</t>
    </r>
    <r>
      <rPr>
        <b val="true"/>
        <sz val="11"/>
        <rFont val="Arial"/>
        <family val="0"/>
        <charset val="1"/>
      </rPr>
      <t xml:space="preserve">(</t>
    </r>
    <r>
      <rPr>
        <b val="true"/>
        <sz val="11"/>
        <rFont val="WenQuanYi Zen Hei"/>
        <family val="2"/>
      </rPr>
      <t xml:space="preserve">入金－支出</t>
    </r>
    <r>
      <rPr>
        <b val="true"/>
        <sz val="11"/>
        <rFont val="Arial"/>
        <family val="0"/>
        <charset val="1"/>
      </rPr>
      <t xml:space="preserve">)</t>
    </r>
  </si>
  <si>
    <r>
      <rPr>
        <b val="true"/>
        <sz val="11"/>
        <rFont val="WenQuanYi Zen Hei"/>
        <family val="2"/>
      </rPr>
      <t xml:space="preserve">累積収支</t>
    </r>
    <r>
      <rPr>
        <b val="true"/>
        <sz val="11"/>
        <rFont val="Arial"/>
        <family val="0"/>
        <charset val="1"/>
      </rPr>
      <t xml:space="preserve">(</t>
    </r>
    <r>
      <rPr>
        <b val="true"/>
        <sz val="11"/>
        <rFont val="WenQuanYi Zen Hei"/>
        <family val="2"/>
      </rPr>
      <t xml:space="preserve">運転資金投入前</t>
    </r>
    <r>
      <rPr>
        <b val="true"/>
        <sz val="11"/>
        <rFont val="Arial"/>
        <family val="0"/>
        <charset val="1"/>
      </rPr>
      <t xml:space="preserve">)</t>
    </r>
  </si>
  <si>
    <r>
      <rPr>
        <b val="true"/>
        <sz val="11"/>
        <rFont val="Arial"/>
        <family val="0"/>
        <charset val="1"/>
      </rPr>
      <t xml:space="preserve">Year1</t>
    </r>
    <r>
      <rPr>
        <b val="true"/>
        <sz val="11"/>
        <rFont val="WenQuanYi Zen Hei"/>
        <family val="2"/>
      </rPr>
      <t xml:space="preserve">中の最低累積収支</t>
    </r>
    <r>
      <rPr>
        <b val="true"/>
        <sz val="11"/>
        <rFont val="Arial"/>
        <family val="0"/>
        <charset val="1"/>
      </rPr>
      <t xml:space="preserve">(</t>
    </r>
    <r>
      <rPr>
        <b val="true"/>
        <sz val="11"/>
        <rFont val="WenQuanYi Zen Hei"/>
        <family val="2"/>
      </rPr>
      <t xml:space="preserve">＝最低限必要な開所前資金の目安</t>
    </r>
    <r>
      <rPr>
        <b val="true"/>
        <sz val="11"/>
        <rFont val="Arial"/>
        <family val="0"/>
        <charset val="1"/>
      </rPr>
      <t xml:space="preserve">)</t>
    </r>
  </si>
  <si>
    <r>
      <rPr>
        <sz val="11"/>
        <color theme="1"/>
        <rFont val="WenQuanYi Zen Hei"/>
        <family val="2"/>
      </rPr>
      <t xml:space="preserve">←この金額の絶対値以上を、開所前に確保しておく必要がある</t>
    </r>
    <r>
      <rPr>
        <sz val="11"/>
        <color theme="1"/>
        <rFont val="Calibri"/>
        <family val="2"/>
        <charset val="1"/>
      </rPr>
      <t xml:space="preserve">(</t>
    </r>
    <r>
      <rPr>
        <sz val="11"/>
        <color theme="1"/>
        <rFont val="WenQuanYi Zen Hei"/>
        <family val="2"/>
      </rPr>
      <t xml:space="preserve">初期投資シートの『運転資金』はこの値を参照</t>
    </r>
    <r>
      <rPr>
        <sz val="11"/>
        <color theme="1"/>
        <rFont val="Calibri"/>
        <family val="2"/>
        <charset val="1"/>
      </rPr>
      <t xml:space="preserve">)</t>
    </r>
  </si>
  <si>
    <r>
      <rPr>
        <b val="true"/>
        <sz val="14"/>
        <rFont val="Arial"/>
        <family val="0"/>
        <charset val="1"/>
      </rPr>
      <t xml:space="preserve">5</t>
    </r>
    <r>
      <rPr>
        <b val="true"/>
        <sz val="14"/>
        <rFont val="WenQuanYi Zen Hei"/>
        <family val="2"/>
      </rPr>
      <t xml:space="preserve">ヵ年収支計画</t>
    </r>
    <r>
      <rPr>
        <b val="true"/>
        <sz val="14"/>
        <rFont val="Arial"/>
        <family val="0"/>
        <charset val="1"/>
      </rPr>
      <t xml:space="preserve">(</t>
    </r>
    <r>
      <rPr>
        <b val="true"/>
        <sz val="14"/>
        <rFont val="WenQuanYi Zen Hei"/>
        <family val="2"/>
      </rPr>
      <t xml:space="preserve">概算シミュレーション</t>
    </r>
    <r>
      <rPr>
        <b val="true"/>
        <sz val="14"/>
        <rFont val="Arial"/>
        <family val="0"/>
        <charset val="1"/>
      </rPr>
      <t xml:space="preserve">)</t>
    </r>
  </si>
  <si>
    <t xml:space="preserve">Year1</t>
  </si>
  <si>
    <t xml:space="preserve">Year2</t>
  </si>
  <si>
    <t xml:space="preserve">Year3</t>
  </si>
  <si>
    <t xml:space="preserve">Year4</t>
  </si>
  <si>
    <t xml:space="preserve">Year5</t>
  </si>
  <si>
    <r>
      <rPr>
        <sz val="11"/>
        <color rgb="FF000000"/>
        <rFont val="WenQuanYi Zen Hei"/>
        <family val="2"/>
      </rPr>
      <t xml:space="preserve">稼働率</t>
    </r>
    <r>
      <rPr>
        <sz val="11"/>
        <color rgb="FF000000"/>
        <rFont val="Arial"/>
        <family val="0"/>
        <charset val="1"/>
      </rPr>
      <t xml:space="preserve">(</t>
    </r>
    <r>
      <rPr>
        <sz val="11"/>
        <color rgb="FF000000"/>
        <rFont val="WenQuanYi Zen Hei"/>
        <family val="2"/>
      </rPr>
      <t xml:space="preserve">想定・入力。</t>
    </r>
    <r>
      <rPr>
        <sz val="11"/>
        <color rgb="FF000000"/>
        <rFont val="Arial"/>
        <family val="0"/>
        <charset val="1"/>
      </rPr>
      <t xml:space="preserve">Year1</t>
    </r>
    <r>
      <rPr>
        <sz val="11"/>
        <color rgb="FF000000"/>
        <rFont val="WenQuanYi Zen Hei"/>
        <family val="2"/>
      </rPr>
      <t xml:space="preserve">は月次資金繰りシートの積み上げ平均目安</t>
    </r>
    <r>
      <rPr>
        <sz val="11"/>
        <color rgb="FF000000"/>
        <rFont val="Arial"/>
        <family val="0"/>
        <charset val="1"/>
      </rPr>
      <t xml:space="preserve">)</t>
    </r>
  </si>
  <si>
    <r>
      <rPr>
        <sz val="11"/>
        <color rgb="FF000000"/>
        <rFont val="WenQuanYi Zen Hei"/>
        <family val="2"/>
      </rPr>
      <t xml:space="preserve">平均利用者数</t>
    </r>
    <r>
      <rPr>
        <sz val="11"/>
        <color rgb="FF000000"/>
        <rFont val="Arial"/>
        <family val="0"/>
        <charset val="1"/>
      </rPr>
      <t xml:space="preserve">/</t>
    </r>
    <r>
      <rPr>
        <sz val="11"/>
        <color rgb="FF000000"/>
        <rFont val="WenQuanYi Zen Hei"/>
        <family val="2"/>
      </rPr>
      <t xml:space="preserve">日</t>
    </r>
    <r>
      <rPr>
        <sz val="11"/>
        <color rgb="FF000000"/>
        <rFont val="Arial"/>
        <family val="0"/>
        <charset val="1"/>
      </rPr>
      <t xml:space="preserve">(</t>
    </r>
    <r>
      <rPr>
        <sz val="11"/>
        <color rgb="FF000000"/>
        <rFont val="WenQuanYi Zen Hei"/>
        <family val="2"/>
      </rPr>
      <t xml:space="preserve">人</t>
    </r>
    <r>
      <rPr>
        <sz val="11"/>
        <color rgb="FF000000"/>
        <rFont val="Arial"/>
        <family val="0"/>
        <charset val="1"/>
      </rPr>
      <t xml:space="preserve">)</t>
    </r>
  </si>
  <si>
    <r>
      <rPr>
        <sz val="11"/>
        <color rgb="FF000000"/>
        <rFont val="WenQuanYi Zen Hei"/>
        <family val="2"/>
      </rPr>
      <t xml:space="preserve">年間開所日数</t>
    </r>
    <r>
      <rPr>
        <sz val="11"/>
        <color rgb="FF000000"/>
        <rFont val="Arial"/>
        <family val="0"/>
        <charset val="1"/>
      </rPr>
      <t xml:space="preserve">(</t>
    </r>
    <r>
      <rPr>
        <sz val="11"/>
        <color rgb="FF000000"/>
        <rFont val="WenQuanYi Zen Hei"/>
        <family val="2"/>
      </rPr>
      <t xml:space="preserve">日</t>
    </r>
    <r>
      <rPr>
        <sz val="11"/>
        <color rgb="FF000000"/>
        <rFont val="Arial"/>
        <family val="0"/>
        <charset val="1"/>
      </rPr>
      <t xml:space="preserve">)</t>
    </r>
  </si>
  <si>
    <r>
      <rPr>
        <sz val="11"/>
        <color rgb="FF000000"/>
        <rFont val="WenQuanYi Zen Hei"/>
        <family val="2"/>
      </rPr>
      <t xml:space="preserve">基本報酬単価</t>
    </r>
    <r>
      <rPr>
        <sz val="11"/>
        <color rgb="FF000000"/>
        <rFont val="Arial"/>
        <family val="0"/>
        <charset val="1"/>
      </rPr>
      <t xml:space="preserve">(</t>
    </r>
    <r>
      <rPr>
        <sz val="11"/>
        <color rgb="FF000000"/>
        <rFont val="WenQuanYi Zen Hei"/>
        <family val="2"/>
      </rPr>
      <t xml:space="preserve">円</t>
    </r>
    <r>
      <rPr>
        <sz val="11"/>
        <color rgb="FF000000"/>
        <rFont val="Arial"/>
        <family val="0"/>
        <charset val="1"/>
      </rPr>
      <t xml:space="preserve">/</t>
    </r>
    <r>
      <rPr>
        <sz val="11"/>
        <color rgb="FF000000"/>
        <rFont val="WenQuanYi Zen Hei"/>
        <family val="2"/>
      </rPr>
      <t xml:space="preserve">日</t>
    </r>
    <r>
      <rPr>
        <sz val="11"/>
        <color rgb="FF000000"/>
        <rFont val="Arial"/>
        <family val="0"/>
        <charset val="1"/>
      </rPr>
      <t xml:space="preserve">/</t>
    </r>
    <r>
      <rPr>
        <sz val="11"/>
        <color rgb="FF000000"/>
        <rFont val="WenQuanYi Zen Hei"/>
        <family val="2"/>
      </rPr>
      <t xml:space="preserve">人</t>
    </r>
    <r>
      <rPr>
        <sz val="11"/>
        <color rgb="FF000000"/>
        <rFont val="Arial"/>
        <family val="0"/>
        <charset val="1"/>
      </rPr>
      <t xml:space="preserve">)</t>
    </r>
  </si>
  <si>
    <r>
      <rPr>
        <sz val="11"/>
        <color rgb="FF000000"/>
        <rFont val="WenQuanYi Zen Hei"/>
        <family val="2"/>
      </rPr>
      <t xml:space="preserve">人員配置体制加算Ⅲ 採用フラグ</t>
    </r>
    <r>
      <rPr>
        <sz val="11"/>
        <color rgb="FF000000"/>
        <rFont val="Arial"/>
        <family val="0"/>
        <charset val="1"/>
      </rPr>
      <t xml:space="preserve">(0=</t>
    </r>
    <r>
      <rPr>
        <sz val="11"/>
        <color rgb="FF000000"/>
        <rFont val="WenQuanYi Zen Hei"/>
        <family val="2"/>
      </rPr>
      <t xml:space="preserve">不採用</t>
    </r>
    <r>
      <rPr>
        <sz val="11"/>
        <color rgb="FF000000"/>
        <rFont val="Arial"/>
        <family val="0"/>
        <charset val="1"/>
      </rPr>
      <t xml:space="preserve">/1=</t>
    </r>
    <r>
      <rPr>
        <sz val="11"/>
        <color rgb="FF000000"/>
        <rFont val="WenQuanYi Zen Hei"/>
        <family val="2"/>
      </rPr>
      <t xml:space="preserve">採用。「理念優先」の経営方針決定を受け、</t>
    </r>
    <r>
      <rPr>
        <sz val="11"/>
        <color rgb="FF000000"/>
        <rFont val="Arial"/>
        <family val="0"/>
        <charset val="1"/>
      </rPr>
      <t xml:space="preserve">Year3</t>
    </r>
    <r>
      <rPr>
        <sz val="11"/>
        <color rgb="FF000000"/>
        <rFont val="WenQuanYi Zen Hei"/>
        <family val="2"/>
      </rPr>
      <t xml:space="preserve">以降で正式採用を推奨。</t>
    </r>
    <r>
      <rPr>
        <sz val="11"/>
        <color rgb="FF000000"/>
        <rFont val="Arial"/>
        <family val="0"/>
        <charset val="1"/>
      </rPr>
      <t xml:space="preserve">Year1-2</t>
    </r>
    <r>
      <rPr>
        <sz val="11"/>
        <color rgb="FF000000"/>
        <rFont val="WenQuanYi Zen Hei"/>
        <family val="2"/>
      </rPr>
      <t xml:space="preserve">は追加人件費が加算収入を上回るため見送り推奨</t>
    </r>
    <r>
      <rPr>
        <sz val="11"/>
        <color rgb="FF000000"/>
        <rFont val="Arial"/>
        <family val="0"/>
        <charset val="1"/>
      </rPr>
      <t xml:space="preserve">)</t>
    </r>
  </si>
  <si>
    <t xml:space="preserve">【収入】</t>
  </si>
  <si>
    <t xml:space="preserve">基本報酬収入</t>
  </si>
  <si>
    <r>
      <rPr>
        <sz val="11"/>
        <color rgb="FF000000"/>
        <rFont val="WenQuanYi Zen Hei"/>
        <family val="2"/>
      </rPr>
      <t xml:space="preserve">送迎加算収入</t>
    </r>
    <r>
      <rPr>
        <sz val="11"/>
        <color rgb="FF000000"/>
        <rFont val="Arial"/>
        <family val="0"/>
        <charset val="1"/>
      </rPr>
      <t xml:space="preserve">(</t>
    </r>
    <r>
      <rPr>
        <sz val="11"/>
        <color rgb="FF000000"/>
        <rFont val="WenQuanYi Zen Hei"/>
        <family val="2"/>
      </rPr>
      <t xml:space="preserve">基本</t>
    </r>
    <r>
      <rPr>
        <sz val="11"/>
        <color rgb="FF000000"/>
        <rFont val="Arial"/>
        <family val="0"/>
        <charset val="1"/>
      </rPr>
      <t xml:space="preserve">21</t>
    </r>
    <r>
      <rPr>
        <sz val="11"/>
        <color rgb="FF000000"/>
        <rFont val="WenQuanYi Zen Hei"/>
        <family val="2"/>
      </rPr>
      <t xml:space="preserve">単位＋区分</t>
    </r>
    <r>
      <rPr>
        <sz val="11"/>
        <color rgb="FF000000"/>
        <rFont val="Arial"/>
        <family val="0"/>
        <charset val="1"/>
      </rPr>
      <t xml:space="preserve">5/6</t>
    </r>
    <r>
      <rPr>
        <sz val="11"/>
        <color rgb="FF000000"/>
        <rFont val="WenQuanYi Zen Hei"/>
        <family val="2"/>
      </rPr>
      <t xml:space="preserve">要件充足時</t>
    </r>
    <r>
      <rPr>
        <sz val="11"/>
        <color rgb="FF000000"/>
        <rFont val="Arial"/>
        <family val="0"/>
        <charset val="1"/>
      </rPr>
      <t xml:space="preserve">+28</t>
    </r>
    <r>
      <rPr>
        <sz val="11"/>
        <color rgb="FF000000"/>
        <rFont val="WenQuanYi Zen Hei"/>
        <family val="2"/>
      </rPr>
      <t xml:space="preserve">単位、往復</t>
    </r>
    <r>
      <rPr>
        <sz val="11"/>
        <color rgb="FF000000"/>
        <rFont val="Arial"/>
        <family val="0"/>
        <charset val="1"/>
      </rPr>
      <t xml:space="preserve">)</t>
    </r>
  </si>
  <si>
    <r>
      <rPr>
        <sz val="11"/>
        <color rgb="FF000000"/>
        <rFont val="WenQuanYi Zen Hei"/>
        <family val="2"/>
      </rPr>
      <t xml:space="preserve">処遇改善加算収入</t>
    </r>
    <r>
      <rPr>
        <sz val="11"/>
        <color rgb="FF000000"/>
        <rFont val="Arial"/>
        <family val="0"/>
        <charset val="1"/>
      </rPr>
      <t xml:space="preserve">(</t>
    </r>
    <r>
      <rPr>
        <sz val="11"/>
        <color rgb="FF000000"/>
        <rFont val="WenQuanYi Zen Hei"/>
        <family val="2"/>
      </rPr>
      <t xml:space="preserve">全額を人件費側の賃金改善原資に充当。損益には中立</t>
    </r>
    <r>
      <rPr>
        <sz val="11"/>
        <color rgb="FF000000"/>
        <rFont val="Arial"/>
        <family val="0"/>
        <charset val="1"/>
      </rPr>
      <t xml:space="preserve">)</t>
    </r>
  </si>
  <si>
    <t xml:space="preserve">入浴介助加算収入</t>
  </si>
  <si>
    <r>
      <rPr>
        <sz val="11"/>
        <color rgb="FF000000"/>
        <rFont val="WenQuanYi Zen Hei"/>
        <family val="2"/>
      </rPr>
      <t xml:space="preserve">食事提供体制加算収入</t>
    </r>
    <r>
      <rPr>
        <sz val="11"/>
        <color rgb="FF000000"/>
        <rFont val="Arial"/>
        <family val="0"/>
        <charset val="1"/>
      </rPr>
      <t xml:space="preserve">(</t>
    </r>
    <r>
      <rPr>
        <sz val="11"/>
        <color rgb="FF000000"/>
        <rFont val="WenQuanYi Zen Hei"/>
        <family val="2"/>
      </rPr>
      <t xml:space="preserve">経過措置</t>
    </r>
    <r>
      <rPr>
        <sz val="11"/>
        <color rgb="FF000000"/>
        <rFont val="Arial"/>
        <family val="0"/>
        <charset val="1"/>
      </rPr>
      <t xml:space="preserve">)</t>
    </r>
  </si>
  <si>
    <r>
      <rPr>
        <sz val="11"/>
        <color rgb="FF000000"/>
        <rFont val="WenQuanYi Zen Hei"/>
        <family val="2"/>
      </rPr>
      <t xml:space="preserve">福祉専門職員配置等加算収入</t>
    </r>
    <r>
      <rPr>
        <sz val="11"/>
        <color rgb="FF000000"/>
        <rFont val="Arial"/>
        <family val="0"/>
        <charset val="1"/>
      </rPr>
      <t xml:space="preserve">(</t>
    </r>
    <r>
      <rPr>
        <sz val="11"/>
        <color rgb="FF000000"/>
        <rFont val="WenQuanYi Zen Hei"/>
        <family val="2"/>
      </rPr>
      <t xml:space="preserve">有資格者比率要件、追加人件費なしで取得可</t>
    </r>
    <r>
      <rPr>
        <sz val="11"/>
        <color rgb="FF000000"/>
        <rFont val="Arial"/>
        <family val="0"/>
        <charset val="1"/>
      </rPr>
      <t xml:space="preserve">)</t>
    </r>
  </si>
  <si>
    <r>
      <rPr>
        <sz val="11"/>
        <color rgb="FF000000"/>
        <rFont val="WenQuanYi Zen Hei"/>
        <family val="2"/>
      </rPr>
      <t xml:space="preserve">人員配置体制加算Ⅲ収入</t>
    </r>
    <r>
      <rPr>
        <sz val="11"/>
        <color rgb="FF000000"/>
        <rFont val="Arial"/>
        <family val="0"/>
        <charset val="1"/>
      </rPr>
      <t xml:space="preserve">(</t>
    </r>
    <r>
      <rPr>
        <sz val="11"/>
        <color rgb="FF000000"/>
        <rFont val="WenQuanYi Zen Hei"/>
        <family val="2"/>
      </rPr>
      <t xml:space="preserve">理念優先方針により正式採用。上記フラグに連動</t>
    </r>
    <r>
      <rPr>
        <sz val="11"/>
        <color rgb="FF000000"/>
        <rFont val="Arial"/>
        <family val="0"/>
        <charset val="1"/>
      </rPr>
      <t xml:space="preserve">)</t>
    </r>
  </si>
  <si>
    <t xml:space="preserve">収入合計</t>
  </si>
  <si>
    <t xml:space="preserve">【経費】</t>
  </si>
  <si>
    <r>
      <rPr>
        <sz val="11"/>
        <color rgb="FF000000"/>
        <rFont val="WenQuanYi Zen Hei"/>
        <family val="2"/>
      </rPr>
      <t xml:space="preserve">人件費</t>
    </r>
    <r>
      <rPr>
        <sz val="11"/>
        <color rgb="FF000000"/>
        <rFont val="Arial"/>
        <family val="0"/>
        <charset val="1"/>
      </rPr>
      <t xml:space="preserve">(</t>
    </r>
    <r>
      <rPr>
        <sz val="11"/>
        <color rgb="FF000000"/>
        <rFont val="WenQuanYi Zen Hei"/>
        <family val="2"/>
      </rPr>
      <t xml:space="preserve">法定福利費込、看護・機能訓練指導員含む</t>
    </r>
    <r>
      <rPr>
        <sz val="11"/>
        <color rgb="FF000000"/>
        <rFont val="Arial"/>
        <family val="0"/>
        <charset val="1"/>
      </rPr>
      <t xml:space="preserve">)</t>
    </r>
  </si>
  <si>
    <r>
      <rPr>
        <sz val="11"/>
        <color rgb="FF000000"/>
        <rFont val="WenQuanYi Zen Hei"/>
        <family val="2"/>
      </rPr>
      <t xml:space="preserve">処遇改善加算 相当額の賃金改善</t>
    </r>
    <r>
      <rPr>
        <sz val="11"/>
        <color rgb="FF000000"/>
        <rFont val="Arial"/>
        <family val="0"/>
        <charset val="1"/>
      </rPr>
      <t xml:space="preserve">(</t>
    </r>
    <r>
      <rPr>
        <sz val="11"/>
        <color rgb="FF000000"/>
        <rFont val="WenQuanYi Zen Hei"/>
        <family val="2"/>
      </rPr>
      <t xml:space="preserve">加算収入と同額、損益中立化</t>
    </r>
    <r>
      <rPr>
        <sz val="11"/>
        <color rgb="FF000000"/>
        <rFont val="Arial"/>
        <family val="0"/>
        <charset val="1"/>
      </rPr>
      <t xml:space="preserve">)</t>
    </r>
  </si>
  <si>
    <r>
      <rPr>
        <sz val="11"/>
        <color rgb="FF000000"/>
        <rFont val="WenQuanYi Zen Hei"/>
        <family val="2"/>
      </rPr>
      <t xml:space="preserve">豊口氏 役員報酬</t>
    </r>
    <r>
      <rPr>
        <sz val="11"/>
        <color rgb="FF000000"/>
        <rFont val="Arial"/>
        <family val="0"/>
        <charset val="1"/>
      </rPr>
      <t xml:space="preserve">(Year1-2</t>
    </r>
    <r>
      <rPr>
        <sz val="11"/>
        <color rgb="FF000000"/>
        <rFont val="WenQuanYi Zen Hei"/>
        <family val="2"/>
      </rPr>
      <t xml:space="preserve">は月</t>
    </r>
    <r>
      <rPr>
        <sz val="11"/>
        <color rgb="FF000000"/>
        <rFont val="Arial"/>
        <family val="0"/>
        <charset val="1"/>
      </rPr>
      <t xml:space="preserve">10</t>
    </r>
    <r>
      <rPr>
        <sz val="11"/>
        <color rgb="FF000000"/>
        <rFont val="WenQuanYi Zen Hei"/>
        <family val="2"/>
      </rPr>
      <t xml:space="preserve">万円、</t>
    </r>
    <r>
      <rPr>
        <sz val="11"/>
        <color rgb="FF000000"/>
        <rFont val="Arial"/>
        <family val="0"/>
        <charset val="1"/>
      </rPr>
      <t xml:space="preserve">Year3</t>
    </r>
    <r>
      <rPr>
        <sz val="11"/>
        <color rgb="FF000000"/>
        <rFont val="WenQuanYi Zen Hei"/>
        <family val="2"/>
      </rPr>
      <t xml:space="preserve">以降は月</t>
    </r>
    <r>
      <rPr>
        <sz val="11"/>
        <color rgb="FF000000"/>
        <rFont val="Arial"/>
        <family val="0"/>
        <charset val="1"/>
      </rPr>
      <t xml:space="preserve">30</t>
    </r>
    <r>
      <rPr>
        <sz val="11"/>
        <color rgb="FF000000"/>
        <rFont val="WenQuanYi Zen Hei"/>
        <family val="2"/>
      </rPr>
      <t xml:space="preserve">万円を想定</t>
    </r>
    <r>
      <rPr>
        <sz val="11"/>
        <color rgb="FF000000"/>
        <rFont val="Arial"/>
        <family val="0"/>
        <charset val="1"/>
      </rPr>
      <t xml:space="preserve">)</t>
    </r>
  </si>
  <si>
    <t xml:space="preserve">地代家賃</t>
  </si>
  <si>
    <t xml:space="preserve">車両関連費</t>
  </si>
  <si>
    <t xml:space="preserve">その他経費</t>
  </si>
  <si>
    <t xml:space="preserve">減価償却費</t>
  </si>
  <si>
    <r>
      <rPr>
        <sz val="11"/>
        <color rgb="FF000000"/>
        <rFont val="WenQuanYi Zen Hei"/>
        <family val="2"/>
      </rPr>
      <t xml:space="preserve">人員配置体制加算Ⅲ対応 追加人件費</t>
    </r>
    <r>
      <rPr>
        <sz val="11"/>
        <color rgb="FF000000"/>
        <rFont val="Arial"/>
        <family val="0"/>
        <charset val="1"/>
      </rPr>
      <t xml:space="preserve">(</t>
    </r>
    <r>
      <rPr>
        <sz val="11"/>
        <color rgb="FF000000"/>
        <rFont val="WenQuanYi Zen Hei"/>
        <family val="2"/>
      </rPr>
      <t xml:space="preserve">生活支援員</t>
    </r>
    <r>
      <rPr>
        <sz val="11"/>
        <color rgb="FF000000"/>
        <rFont val="Arial"/>
        <family val="0"/>
        <charset val="1"/>
      </rPr>
      <t xml:space="preserve">+1.5</t>
    </r>
    <r>
      <rPr>
        <sz val="11"/>
        <color rgb="FF000000"/>
        <rFont val="WenQuanYi Zen Hei"/>
        <family val="2"/>
      </rPr>
      <t xml:space="preserve">名相当、法定福利費込。上記フラグに連動</t>
    </r>
    <r>
      <rPr>
        <sz val="11"/>
        <color rgb="FF000000"/>
        <rFont val="Arial"/>
        <family val="0"/>
        <charset val="1"/>
      </rPr>
      <t xml:space="preserve">)</t>
    </r>
  </si>
  <si>
    <t xml:space="preserve">経費合計</t>
  </si>
  <si>
    <t xml:space="preserve">営業利益</t>
  </si>
  <si>
    <t xml:space="preserve">営業利益率</t>
  </si>
  <si>
    <r>
      <rPr>
        <b val="true"/>
        <sz val="11"/>
        <rFont val="WenQuanYi Zen Hei"/>
        <family val="2"/>
      </rPr>
      <t xml:space="preserve">【簡易資金繰り</t>
    </r>
    <r>
      <rPr>
        <b val="true"/>
        <sz val="11"/>
        <rFont val="Arial"/>
        <family val="0"/>
        <charset val="1"/>
      </rPr>
      <t xml:space="preserve">(</t>
    </r>
    <r>
      <rPr>
        <b val="true"/>
        <sz val="11"/>
        <rFont val="WenQuanYi Zen Hei"/>
        <family val="2"/>
      </rPr>
      <t xml:space="preserve">参考</t>
    </r>
    <r>
      <rPr>
        <b val="true"/>
        <sz val="11"/>
        <rFont val="Arial"/>
        <family val="0"/>
        <charset val="1"/>
      </rPr>
      <t xml:space="preserve">)</t>
    </r>
    <r>
      <rPr>
        <b val="true"/>
        <sz val="11"/>
        <rFont val="WenQuanYi Zen Hei"/>
        <family val="2"/>
      </rPr>
      <t xml:space="preserve">】</t>
    </r>
  </si>
  <si>
    <r>
      <rPr>
        <sz val="11"/>
        <color rgb="FF000000"/>
        <rFont val="WenQuanYi Zen Hei"/>
        <family val="2"/>
      </rPr>
      <t xml:space="preserve">簡易キャッシュフロー</t>
    </r>
    <r>
      <rPr>
        <sz val="11"/>
        <color rgb="FF000000"/>
        <rFont val="Arial"/>
        <family val="0"/>
        <charset val="1"/>
      </rPr>
      <t xml:space="preserve">(</t>
    </r>
    <r>
      <rPr>
        <sz val="11"/>
        <color rgb="FF000000"/>
        <rFont val="WenQuanYi Zen Hei"/>
        <family val="2"/>
      </rPr>
      <t xml:space="preserve">営業利益</t>
    </r>
    <r>
      <rPr>
        <sz val="11"/>
        <color rgb="FF000000"/>
        <rFont val="Arial"/>
        <family val="0"/>
        <charset val="1"/>
      </rPr>
      <t xml:space="preserve">+</t>
    </r>
    <r>
      <rPr>
        <sz val="11"/>
        <color rgb="FF000000"/>
        <rFont val="WenQuanYi Zen Hei"/>
        <family val="2"/>
      </rPr>
      <t xml:space="preserve">減価償却費</t>
    </r>
    <r>
      <rPr>
        <sz val="11"/>
        <color rgb="FF000000"/>
        <rFont val="Arial"/>
        <family val="0"/>
        <charset val="1"/>
      </rPr>
      <t xml:space="preserve">)</t>
    </r>
  </si>
  <si>
    <r>
      <rPr>
        <sz val="11"/>
        <color rgb="FF000000"/>
        <rFont val="WenQuanYi Zen Hei"/>
        <family val="2"/>
      </rPr>
      <t xml:space="preserve">融資元金返済</t>
    </r>
    <r>
      <rPr>
        <sz val="11"/>
        <color rgb="FF000000"/>
        <rFont val="Arial"/>
        <family val="0"/>
        <charset val="1"/>
      </rPr>
      <t xml:space="preserve">(</t>
    </r>
    <r>
      <rPr>
        <sz val="11"/>
        <color rgb="FF000000"/>
        <rFont val="WenQuanYi Zen Hei"/>
        <family val="2"/>
      </rPr>
      <t xml:space="preserve">公庫＋会長、想定・入力</t>
    </r>
    <r>
      <rPr>
        <sz val="11"/>
        <color rgb="FF000000"/>
        <rFont val="Arial"/>
        <family val="0"/>
        <charset val="1"/>
      </rPr>
      <t xml:space="preserve">)</t>
    </r>
  </si>
  <si>
    <t xml:space="preserve">単年キャッシュフロー</t>
  </si>
  <si>
    <r>
      <rPr>
        <b val="true"/>
        <sz val="11"/>
        <rFont val="WenQuanYi Zen Hei"/>
        <family val="2"/>
      </rPr>
      <t xml:space="preserve">累積キャッシュフロー</t>
    </r>
    <r>
      <rPr>
        <b val="true"/>
        <sz val="11"/>
        <rFont val="Arial"/>
        <family val="0"/>
        <charset val="1"/>
      </rPr>
      <t xml:space="preserve">(</t>
    </r>
    <r>
      <rPr>
        <b val="true"/>
        <sz val="11"/>
        <rFont val="WenQuanYi Zen Hei"/>
        <family val="2"/>
      </rPr>
      <t xml:space="preserve">開所後・初期投資の運転資金充当分は除く</t>
    </r>
    <r>
      <rPr>
        <b val="true"/>
        <sz val="11"/>
        <rFont val="Arial"/>
        <family val="0"/>
        <charset val="1"/>
      </rPr>
      <t xml:space="preserve">)</t>
    </r>
  </si>
  <si>
    <t xml:space="preserve">加算フル活用シナリオ ― 人員配置体制加算・重度障害者支援加算の損益分岐試算</t>
  </si>
  <si>
    <r>
      <rPr>
        <sz val="11"/>
        <color theme="1"/>
        <rFont val="WenQuanYi Zen Hei"/>
        <family val="2"/>
      </rPr>
      <t xml:space="preserve">「収支計画</t>
    </r>
    <r>
      <rPr>
        <sz val="11"/>
        <color theme="1"/>
        <rFont val="Calibri"/>
        <family val="2"/>
        <charset val="1"/>
      </rPr>
      <t xml:space="preserve">5</t>
    </r>
    <r>
      <rPr>
        <sz val="11"/>
        <color theme="1"/>
        <rFont val="WenQuanYi Zen Hei"/>
        <family val="2"/>
      </rPr>
      <t xml:space="preserve">年」の基本ケースには、追加人件費なしで取得を狙える加算</t>
    </r>
    <r>
      <rPr>
        <sz val="11"/>
        <color theme="1"/>
        <rFont val="Calibri"/>
        <family val="2"/>
        <charset val="1"/>
      </rPr>
      <t xml:space="preserve">(</t>
    </r>
    <r>
      <rPr>
        <sz val="11"/>
        <color theme="1"/>
        <rFont val="WenQuanYi Zen Hei"/>
        <family val="2"/>
      </rPr>
      <t xml:space="preserve">食事提供体制加算・入浴支援加算・送迎加算・処遇改善加算フル取得・福祉専門職員配置等加算</t>
    </r>
    <r>
      <rPr>
        <sz val="11"/>
        <color theme="1"/>
        <rFont val="Calibri"/>
        <family val="2"/>
        <charset val="1"/>
      </rPr>
      <t xml:space="preserve">)</t>
    </r>
    <r>
      <rPr>
        <sz val="11"/>
        <color theme="1"/>
        <rFont val="WenQuanYi Zen Hei"/>
        <family val="2"/>
      </rPr>
      <t xml:space="preserve">のみを織り込んでいる。人員配置体制加算</t>
    </r>
    <r>
      <rPr>
        <sz val="11"/>
        <color theme="1"/>
        <rFont val="Calibri"/>
        <family val="2"/>
        <charset val="1"/>
      </rPr>
      <t xml:space="preserve">(</t>
    </r>
    <r>
      <rPr>
        <sz val="11"/>
        <color theme="1"/>
        <rFont val="WenQuanYi Zen Hei"/>
        <family val="2"/>
      </rPr>
      <t xml:space="preserve">追加人員が必要</t>
    </r>
    <r>
      <rPr>
        <sz val="11"/>
        <color theme="1"/>
        <rFont val="Calibri"/>
        <family val="2"/>
        <charset val="1"/>
      </rPr>
      <t xml:space="preserve">)</t>
    </r>
    <r>
      <rPr>
        <sz val="11"/>
        <color theme="1"/>
        <rFont val="WenQuanYi Zen Hei"/>
        <family val="2"/>
      </rPr>
      <t xml:space="preserve">と重度障害者支援加算</t>
    </r>
    <r>
      <rPr>
        <sz val="11"/>
        <color theme="1"/>
        <rFont val="Calibri"/>
        <family val="2"/>
        <charset val="1"/>
      </rPr>
      <t xml:space="preserve">(</t>
    </r>
    <r>
      <rPr>
        <sz val="11"/>
        <color theme="1"/>
        <rFont val="WenQuanYi Zen Hei"/>
        <family val="2"/>
      </rPr>
      <t xml:space="preserve">該当者の受け入れが前提</t>
    </r>
    <r>
      <rPr>
        <sz val="11"/>
        <color theme="1"/>
        <rFont val="Calibri"/>
        <family val="2"/>
        <charset val="1"/>
      </rPr>
      <t xml:space="preserve">)</t>
    </r>
    <r>
      <rPr>
        <sz val="11"/>
        <color theme="1"/>
        <rFont val="WenQuanYi Zen Hei"/>
        <family val="2"/>
      </rPr>
      <t xml:space="preserve">は、コスト・前提条件が別次元のため、本シートで独立に損益分岐を試算する。単位数・要件は公表情報からの概算であり、広島市提示の最新単価表・算定要件で必ず確認すること</t>
    </r>
    <r>
      <rPr>
        <sz val="11"/>
        <color theme="1"/>
        <rFont val="Calibri"/>
        <family val="2"/>
        <charset val="1"/>
      </rPr>
      <t xml:space="preserve">(</t>
    </r>
    <r>
      <rPr>
        <sz val="11"/>
        <color theme="1"/>
        <rFont val="WenQuanYi Zen Hei"/>
        <family val="2"/>
      </rPr>
      <t xml:space="preserve">青字セルは入力用</t>
    </r>
    <r>
      <rPr>
        <sz val="11"/>
        <color theme="1"/>
        <rFont val="Calibri"/>
        <family val="2"/>
        <charset val="1"/>
      </rPr>
      <t xml:space="preserve">)</t>
    </r>
    <r>
      <rPr>
        <sz val="11"/>
        <color theme="1"/>
        <rFont val="WenQuanYi Zen Hei"/>
        <family val="2"/>
      </rPr>
      <t xml:space="preserve">。</t>
    </r>
  </si>
  <si>
    <r>
      <rPr>
        <b val="true"/>
        <sz val="11"/>
        <rFont val="WenQuanYi Zen Hei"/>
        <family val="2"/>
      </rPr>
      <t xml:space="preserve">【試算の前提</t>
    </r>
    <r>
      <rPr>
        <b val="true"/>
        <sz val="11"/>
        <rFont val="Arial"/>
        <family val="0"/>
        <charset val="1"/>
      </rPr>
      <t xml:space="preserve">(Year5</t>
    </r>
    <r>
      <rPr>
        <b val="true"/>
        <sz val="11"/>
        <rFont val="WenQuanYi Zen Hei"/>
        <family val="2"/>
      </rPr>
      <t xml:space="preserve">・成熟期時点</t>
    </r>
    <r>
      <rPr>
        <b val="true"/>
        <sz val="11"/>
        <rFont val="Arial"/>
        <family val="0"/>
        <charset val="1"/>
      </rPr>
      <t xml:space="preserve">)</t>
    </r>
    <r>
      <rPr>
        <b val="true"/>
        <sz val="11"/>
        <rFont val="WenQuanYi Zen Hei"/>
        <family val="2"/>
      </rPr>
      <t xml:space="preserve">】</t>
    </r>
  </si>
  <si>
    <r>
      <rPr>
        <sz val="11"/>
        <color rgb="FF000000"/>
        <rFont val="WenQuanYi Zen Hei"/>
        <family val="2"/>
      </rPr>
      <t xml:space="preserve">想定利用者数</t>
    </r>
    <r>
      <rPr>
        <sz val="11"/>
        <color rgb="FF000000"/>
        <rFont val="Arial"/>
        <family val="0"/>
        <charset val="1"/>
      </rPr>
      <t xml:space="preserve">/</t>
    </r>
    <r>
      <rPr>
        <sz val="11"/>
        <color rgb="FF000000"/>
        <rFont val="WenQuanYi Zen Hei"/>
        <family val="2"/>
      </rPr>
      <t xml:space="preserve">日</t>
    </r>
    <r>
      <rPr>
        <sz val="11"/>
        <color rgb="FF000000"/>
        <rFont val="Arial"/>
        <family val="0"/>
        <charset val="1"/>
      </rPr>
      <t xml:space="preserve">(Year5)</t>
    </r>
  </si>
  <si>
    <t xml:space="preserve">人</t>
  </si>
  <si>
    <t xml:space="preserve">日</t>
  </si>
  <si>
    <r>
      <rPr>
        <sz val="11"/>
        <color rgb="FF000000"/>
        <rFont val="WenQuanYi Zen Hei"/>
        <family val="2"/>
      </rPr>
      <t xml:space="preserve">円</t>
    </r>
    <r>
      <rPr>
        <sz val="11"/>
        <color rgb="FF000000"/>
        <rFont val="Arial"/>
        <family val="0"/>
        <charset val="1"/>
      </rPr>
      <t xml:space="preserve">/</t>
    </r>
    <r>
      <rPr>
        <sz val="11"/>
        <color rgb="FF000000"/>
        <rFont val="WenQuanYi Zen Hei"/>
        <family val="2"/>
      </rPr>
      <t xml:space="preserve">単位</t>
    </r>
  </si>
  <si>
    <r>
      <rPr>
        <sz val="11"/>
        <color rgb="FF000000"/>
        <rFont val="WenQuanYi Zen Hei"/>
        <family val="2"/>
      </rPr>
      <t xml:space="preserve">生活支援員 年間人件費単価</t>
    </r>
    <r>
      <rPr>
        <sz val="11"/>
        <color rgb="FF000000"/>
        <rFont val="Arial"/>
        <family val="0"/>
        <charset val="1"/>
      </rPr>
      <t xml:space="preserve">(</t>
    </r>
    <r>
      <rPr>
        <sz val="11"/>
        <color rgb="FF000000"/>
        <rFont val="WenQuanYi Zen Hei"/>
        <family val="2"/>
      </rPr>
      <t xml:space="preserve">法定福利費込</t>
    </r>
    <r>
      <rPr>
        <sz val="11"/>
        <color rgb="FF000000"/>
        <rFont val="Arial"/>
        <family val="0"/>
        <charset val="1"/>
      </rPr>
      <t xml:space="preserve">)</t>
    </r>
  </si>
  <si>
    <r>
      <rPr>
        <sz val="11"/>
        <color rgb="FF000000"/>
        <rFont val="WenQuanYi Zen Hei"/>
        <family val="2"/>
      </rPr>
      <t xml:space="preserve">円</t>
    </r>
    <r>
      <rPr>
        <sz val="11"/>
        <color rgb="FF000000"/>
        <rFont val="Arial"/>
        <family val="0"/>
        <charset val="1"/>
      </rPr>
      <t xml:space="preserve">/</t>
    </r>
    <r>
      <rPr>
        <sz val="11"/>
        <color rgb="FF000000"/>
        <rFont val="WenQuanYi Zen Hei"/>
        <family val="2"/>
      </rPr>
      <t xml:space="preserve">人</t>
    </r>
  </si>
  <si>
    <r>
      <rPr>
        <b val="true"/>
        <sz val="11"/>
        <rFont val="WenQuanYi Zen Hei"/>
        <family val="2"/>
      </rPr>
      <t xml:space="preserve">【① 人員配置体制加算</t>
    </r>
    <r>
      <rPr>
        <b val="true"/>
        <sz val="11"/>
        <rFont val="Arial"/>
        <family val="0"/>
        <charset val="1"/>
      </rPr>
      <t xml:space="preserve">(</t>
    </r>
    <r>
      <rPr>
        <b val="true"/>
        <sz val="11"/>
        <rFont val="WenQuanYi Zen Hei"/>
        <family val="2"/>
      </rPr>
      <t xml:space="preserve">生活支援員の増員が必要</t>
    </r>
    <r>
      <rPr>
        <b val="true"/>
        <sz val="11"/>
        <rFont val="Arial"/>
        <family val="0"/>
        <charset val="1"/>
      </rPr>
      <t xml:space="preserve">)</t>
    </r>
    <r>
      <rPr>
        <b val="true"/>
        <sz val="11"/>
        <rFont val="WenQuanYi Zen Hei"/>
        <family val="2"/>
      </rPr>
      <t xml:space="preserve">】</t>
    </r>
  </si>
  <si>
    <r>
      <rPr>
        <b val="true"/>
        <sz val="11"/>
        <color rgb="FFFFFFFF"/>
        <rFont val="WenQuanYi Zen Hei"/>
        <family val="2"/>
      </rPr>
      <t xml:space="preserve">区分</t>
    </r>
    <r>
      <rPr>
        <b val="true"/>
        <sz val="11"/>
        <color rgb="FFFFFFFF"/>
        <rFont val="Arial"/>
        <family val="0"/>
        <charset val="1"/>
      </rPr>
      <t xml:space="preserve">(</t>
    </r>
    <r>
      <rPr>
        <b val="true"/>
        <sz val="11"/>
        <color rgb="FFFFFFFF"/>
        <rFont val="WenQuanYi Zen Hei"/>
        <family val="2"/>
      </rPr>
      <t xml:space="preserve">定員</t>
    </r>
    <r>
      <rPr>
        <b val="true"/>
        <sz val="11"/>
        <color rgb="FFFFFFFF"/>
        <rFont val="Arial"/>
        <family val="0"/>
        <charset val="1"/>
      </rPr>
      <t xml:space="preserve">20</t>
    </r>
    <r>
      <rPr>
        <b val="true"/>
        <sz val="11"/>
        <color rgb="FFFFFFFF"/>
        <rFont val="WenQuanYi Zen Hei"/>
        <family val="2"/>
      </rPr>
      <t xml:space="preserve">人以下の目安</t>
    </r>
    <r>
      <rPr>
        <b val="true"/>
        <sz val="11"/>
        <color rgb="FFFFFFFF"/>
        <rFont val="Arial"/>
        <family val="0"/>
        <charset val="1"/>
      </rPr>
      <t xml:space="preserve">)</t>
    </r>
  </si>
  <si>
    <r>
      <rPr>
        <b val="true"/>
        <sz val="11"/>
        <color rgb="FFFFFFFF"/>
        <rFont val="WenQuanYi Zen Hei"/>
        <family val="2"/>
      </rPr>
      <t xml:space="preserve">単位数</t>
    </r>
    <r>
      <rPr>
        <b val="true"/>
        <sz val="11"/>
        <color rgb="FFFFFFFF"/>
        <rFont val="Arial"/>
        <family val="0"/>
        <charset val="1"/>
      </rPr>
      <t xml:space="preserve">(</t>
    </r>
    <r>
      <rPr>
        <b val="true"/>
        <sz val="11"/>
        <color rgb="FFFFFFFF"/>
        <rFont val="WenQuanYi Zen Hei"/>
        <family val="2"/>
      </rPr>
      <t xml:space="preserve">要確認</t>
    </r>
    <r>
      <rPr>
        <b val="true"/>
        <sz val="11"/>
        <color rgb="FFFFFFFF"/>
        <rFont val="Arial"/>
        <family val="0"/>
        <charset val="1"/>
      </rPr>
      <t xml:space="preserve">)</t>
    </r>
  </si>
  <si>
    <r>
      <rPr>
        <b val="true"/>
        <sz val="11"/>
        <color rgb="FFFFFFFF"/>
        <rFont val="WenQuanYi Zen Hei"/>
        <family val="2"/>
      </rPr>
      <t xml:space="preserve">追加で必要な生活支援員数</t>
    </r>
    <r>
      <rPr>
        <b val="true"/>
        <sz val="11"/>
        <color rgb="FFFFFFFF"/>
        <rFont val="Arial"/>
        <family val="0"/>
        <charset val="1"/>
      </rPr>
      <t xml:space="preserve">(</t>
    </r>
    <r>
      <rPr>
        <b val="true"/>
        <sz val="11"/>
        <color rgb="FFFFFFFF"/>
        <rFont val="WenQuanYi Zen Hei"/>
        <family val="2"/>
      </rPr>
      <t xml:space="preserve">想定・入力</t>
    </r>
    <r>
      <rPr>
        <b val="true"/>
        <sz val="11"/>
        <color rgb="FFFFFFFF"/>
        <rFont val="Arial"/>
        <family val="0"/>
        <charset val="1"/>
      </rPr>
      <t xml:space="preserve">)</t>
    </r>
  </si>
  <si>
    <r>
      <rPr>
        <b val="true"/>
        <sz val="11"/>
        <color rgb="FFFFFFFF"/>
        <rFont val="WenQuanYi Zen Hei"/>
        <family val="2"/>
      </rPr>
      <t xml:space="preserve">追加人件費</t>
    </r>
    <r>
      <rPr>
        <b val="true"/>
        <sz val="11"/>
        <color rgb="FFFFFFFF"/>
        <rFont val="Arial"/>
        <family val="0"/>
        <charset val="1"/>
      </rPr>
      <t xml:space="preserve">(</t>
    </r>
    <r>
      <rPr>
        <b val="true"/>
        <sz val="11"/>
        <color rgb="FFFFFFFF"/>
        <rFont val="WenQuanYi Zen Hei"/>
        <family val="2"/>
      </rPr>
      <t xml:space="preserve">年</t>
    </r>
    <r>
      <rPr>
        <b val="true"/>
        <sz val="11"/>
        <color rgb="FFFFFFFF"/>
        <rFont val="Arial"/>
        <family val="0"/>
        <charset val="1"/>
      </rPr>
      <t xml:space="preserve">)</t>
    </r>
  </si>
  <si>
    <r>
      <rPr>
        <b val="true"/>
        <sz val="11"/>
        <color rgb="FFFFFFFF"/>
        <rFont val="WenQuanYi Zen Hei"/>
        <family val="2"/>
      </rPr>
      <t xml:space="preserve">追加収入</t>
    </r>
    <r>
      <rPr>
        <b val="true"/>
        <sz val="11"/>
        <color rgb="FFFFFFFF"/>
        <rFont val="Arial"/>
        <family val="0"/>
        <charset val="1"/>
      </rPr>
      <t xml:space="preserve">(</t>
    </r>
    <r>
      <rPr>
        <b val="true"/>
        <sz val="11"/>
        <color rgb="FFFFFFFF"/>
        <rFont val="WenQuanYi Zen Hei"/>
        <family val="2"/>
      </rPr>
      <t xml:space="preserve">年</t>
    </r>
    <r>
      <rPr>
        <b val="true"/>
        <sz val="11"/>
        <color rgb="FFFFFFFF"/>
        <rFont val="Arial"/>
        <family val="0"/>
        <charset val="1"/>
      </rPr>
      <t xml:space="preserve">)</t>
    </r>
  </si>
  <si>
    <r>
      <rPr>
        <b val="true"/>
        <sz val="11"/>
        <color rgb="FFFFFFFF"/>
        <rFont val="WenQuanYi Zen Hei"/>
        <family val="2"/>
      </rPr>
      <t xml:space="preserve">差引効果</t>
    </r>
    <r>
      <rPr>
        <b val="true"/>
        <sz val="11"/>
        <color rgb="FFFFFFFF"/>
        <rFont val="Arial"/>
        <family val="0"/>
        <charset val="1"/>
      </rPr>
      <t xml:space="preserve">(</t>
    </r>
    <r>
      <rPr>
        <b val="true"/>
        <sz val="11"/>
        <color rgb="FFFFFFFF"/>
        <rFont val="WenQuanYi Zen Hei"/>
        <family val="2"/>
      </rPr>
      <t xml:space="preserve">年</t>
    </r>
    <r>
      <rPr>
        <b val="true"/>
        <sz val="11"/>
        <color rgb="FFFFFFFF"/>
        <rFont val="Arial"/>
        <family val="0"/>
        <charset val="1"/>
      </rPr>
      <t xml:space="preserve">)</t>
    </r>
  </si>
  <si>
    <r>
      <rPr>
        <sz val="11"/>
        <color rgb="FF000000"/>
        <rFont val="Arial"/>
        <family val="0"/>
        <charset val="1"/>
      </rPr>
      <t xml:space="preserve">Ⅲ(</t>
    </r>
    <r>
      <rPr>
        <sz val="11"/>
        <color rgb="FF000000"/>
        <rFont val="WenQuanYi Zen Hei"/>
        <family val="2"/>
      </rPr>
      <t xml:space="preserve">概ね</t>
    </r>
    <r>
      <rPr>
        <sz val="11"/>
        <color rgb="FF000000"/>
        <rFont val="Arial"/>
        <family val="0"/>
        <charset val="1"/>
      </rPr>
      <t xml:space="preserve">2:1</t>
    </r>
    <r>
      <rPr>
        <sz val="11"/>
        <color rgb="FF000000"/>
        <rFont val="WenQuanYi Zen Hei"/>
        <family val="2"/>
      </rPr>
      <t xml:space="preserve">程度と推定</t>
    </r>
    <r>
      <rPr>
        <sz val="11"/>
        <color rgb="FF000000"/>
        <rFont val="Arial"/>
        <family val="0"/>
        <charset val="1"/>
      </rPr>
      <t xml:space="preserve">)</t>
    </r>
  </si>
  <si>
    <r>
      <rPr>
        <sz val="11"/>
        <color rgb="FF000000"/>
        <rFont val="Arial"/>
        <family val="0"/>
        <charset val="1"/>
      </rPr>
      <t xml:space="preserve">Ⅱ(</t>
    </r>
    <r>
      <rPr>
        <sz val="11"/>
        <color rgb="FF000000"/>
        <rFont val="WenQuanYi Zen Hei"/>
        <family val="2"/>
      </rPr>
      <t xml:space="preserve">概ね</t>
    </r>
    <r>
      <rPr>
        <sz val="11"/>
        <color rgb="FF000000"/>
        <rFont val="Arial"/>
        <family val="0"/>
        <charset val="1"/>
      </rPr>
      <t xml:space="preserve">1.75:1</t>
    </r>
    <r>
      <rPr>
        <sz val="11"/>
        <color rgb="FF000000"/>
        <rFont val="WenQuanYi Zen Hei"/>
        <family val="2"/>
      </rPr>
      <t xml:space="preserve">程度と推定</t>
    </r>
    <r>
      <rPr>
        <sz val="11"/>
        <color rgb="FF000000"/>
        <rFont val="Arial"/>
        <family val="0"/>
        <charset val="1"/>
      </rPr>
      <t xml:space="preserve">)</t>
    </r>
  </si>
  <si>
    <r>
      <rPr>
        <sz val="11"/>
        <color rgb="FF000000"/>
        <rFont val="Arial"/>
        <family val="0"/>
        <charset val="1"/>
      </rPr>
      <t xml:space="preserve">Ⅰ(</t>
    </r>
    <r>
      <rPr>
        <sz val="11"/>
        <color rgb="FF000000"/>
        <rFont val="WenQuanYi Zen Hei"/>
        <family val="2"/>
      </rPr>
      <t xml:space="preserve">概ね</t>
    </r>
    <r>
      <rPr>
        <sz val="11"/>
        <color rgb="FF000000"/>
        <rFont val="Arial"/>
        <family val="0"/>
        <charset val="1"/>
      </rPr>
      <t xml:space="preserve">1.5:1</t>
    </r>
    <r>
      <rPr>
        <sz val="11"/>
        <color rgb="FF000000"/>
        <rFont val="WenQuanYi Zen Hei"/>
        <family val="2"/>
      </rPr>
      <t xml:space="preserve">程度と推定、</t>
    </r>
    <r>
      <rPr>
        <sz val="11"/>
        <color rgb="FF000000"/>
        <rFont val="Arial"/>
        <family val="0"/>
        <charset val="1"/>
      </rPr>
      <t xml:space="preserve">321</t>
    </r>
    <r>
      <rPr>
        <sz val="11"/>
        <color rgb="FF000000"/>
        <rFont val="WenQuanYi Zen Hei"/>
        <family val="2"/>
      </rPr>
      <t xml:space="preserve">単位</t>
    </r>
    <r>
      <rPr>
        <sz val="11"/>
        <color rgb="FF000000"/>
        <rFont val="Arial"/>
        <family val="0"/>
        <charset val="1"/>
      </rPr>
      <t xml:space="preserve">)</t>
    </r>
  </si>
  <si>
    <r>
      <rPr>
        <sz val="11"/>
        <color theme="1"/>
        <rFont val="WenQuanYi Zen Hei"/>
        <family val="2"/>
      </rPr>
      <t xml:space="preserve">※配置比率と区分</t>
    </r>
    <r>
      <rPr>
        <sz val="11"/>
        <color theme="1"/>
        <rFont val="Calibri"/>
        <family val="2"/>
        <charset val="1"/>
      </rPr>
      <t xml:space="preserve">(Ⅰ</t>
    </r>
    <r>
      <rPr>
        <sz val="11"/>
        <color theme="1"/>
        <rFont val="WenQuanYi Zen Hei"/>
        <family val="2"/>
      </rPr>
      <t xml:space="preserve">〜Ⅳ</t>
    </r>
    <r>
      <rPr>
        <sz val="11"/>
        <color theme="1"/>
        <rFont val="Calibri"/>
        <family val="2"/>
        <charset val="1"/>
      </rPr>
      <t xml:space="preserve">)</t>
    </r>
    <r>
      <rPr>
        <sz val="11"/>
        <color theme="1"/>
        <rFont val="WenQuanYi Zen Hei"/>
        <family val="2"/>
      </rPr>
      <t xml:space="preserve">の対応、および「追加で必要な生活支援員数」は現行</t>
    </r>
    <r>
      <rPr>
        <sz val="11"/>
        <color theme="1"/>
        <rFont val="Calibri"/>
        <family val="2"/>
        <charset val="1"/>
      </rPr>
      <t xml:space="preserve">7.4</t>
    </r>
    <r>
      <rPr>
        <sz val="11"/>
        <color theme="1"/>
        <rFont val="WenQuanYi Zen Hei"/>
        <family val="2"/>
      </rPr>
      <t xml:space="preserve">名体制からの概算推定であり、正確な要件は広島市の単価表で必ず確認すること。差引効果がプラスであれば取得を検討する価値が高い。【経営方針決定</t>
    </r>
    <r>
      <rPr>
        <sz val="11"/>
        <color theme="1"/>
        <rFont val="Calibri"/>
        <family val="2"/>
        <charset val="1"/>
      </rPr>
      <t xml:space="preserve">(</t>
    </r>
    <r>
      <rPr>
        <sz val="11"/>
        <color theme="1"/>
        <rFont val="WenQuanYi Zen Hei"/>
        <family val="2"/>
      </rPr>
      <t xml:space="preserve">理念優先</t>
    </r>
    <r>
      <rPr>
        <sz val="11"/>
        <color theme="1"/>
        <rFont val="Calibri"/>
        <family val="2"/>
        <charset val="1"/>
      </rPr>
      <t xml:space="preserve">)</t>
    </r>
    <r>
      <rPr>
        <sz val="11"/>
        <color theme="1"/>
        <rFont val="WenQuanYi Zen Hei"/>
        <family val="2"/>
      </rPr>
      <t xml:space="preserve">を反映】Ⅲは「収支計画</t>
    </r>
    <r>
      <rPr>
        <sz val="11"/>
        <color theme="1"/>
        <rFont val="Calibri"/>
        <family val="2"/>
        <charset val="1"/>
      </rPr>
      <t xml:space="preserve">5</t>
    </r>
    <r>
      <rPr>
        <sz val="11"/>
        <color theme="1"/>
        <rFont val="WenQuanYi Zen Hei"/>
        <family val="2"/>
      </rPr>
      <t xml:space="preserve">年」シートに正式採用として反映済み。ただし追加人件費</t>
    </r>
    <r>
      <rPr>
        <sz val="11"/>
        <color theme="1"/>
        <rFont val="Calibri"/>
        <family val="2"/>
        <charset val="1"/>
      </rPr>
      <t xml:space="preserve">(</t>
    </r>
    <r>
      <rPr>
        <sz val="11"/>
        <color theme="1"/>
        <rFont val="WenQuanYi Zen Hei"/>
        <family val="2"/>
      </rPr>
      <t xml:space="preserve">約</t>
    </r>
    <r>
      <rPr>
        <sz val="11"/>
        <color theme="1"/>
        <rFont val="Calibri"/>
        <family val="2"/>
        <charset val="1"/>
      </rPr>
      <t xml:space="preserve">621</t>
    </r>
    <r>
      <rPr>
        <sz val="11"/>
        <color theme="1"/>
        <rFont val="WenQuanYi Zen Hei"/>
        <family val="2"/>
      </rPr>
      <t xml:space="preserve">万円</t>
    </r>
    <r>
      <rPr>
        <sz val="11"/>
        <color theme="1"/>
        <rFont val="Calibri"/>
        <family val="2"/>
        <charset val="1"/>
      </rPr>
      <t xml:space="preserve">/</t>
    </r>
    <r>
      <rPr>
        <sz val="11"/>
        <color theme="1"/>
        <rFont val="WenQuanYi Zen Hei"/>
        <family val="2"/>
      </rPr>
      <t xml:space="preserve">年</t>
    </r>
    <r>
      <rPr>
        <sz val="11"/>
        <color theme="1"/>
        <rFont val="Calibri"/>
        <family val="2"/>
        <charset val="1"/>
      </rPr>
      <t xml:space="preserve">)</t>
    </r>
    <r>
      <rPr>
        <sz val="11"/>
        <color theme="1"/>
        <rFont val="WenQuanYi Zen Hei"/>
        <family val="2"/>
      </rPr>
      <t xml:space="preserve">は稼働率が上がる</t>
    </r>
    <r>
      <rPr>
        <sz val="11"/>
        <color theme="1"/>
        <rFont val="Calibri"/>
        <family val="2"/>
        <charset val="1"/>
      </rPr>
      <t xml:space="preserve">Year1</t>
    </r>
    <r>
      <rPr>
        <sz val="11"/>
        <color theme="1"/>
        <rFont val="WenQuanYi Zen Hei"/>
        <family val="2"/>
      </rPr>
      <t xml:space="preserve">から必要になる一方、収入は利用者数に比例して低いため、</t>
    </r>
    <r>
      <rPr>
        <sz val="11"/>
        <color theme="1"/>
        <rFont val="Calibri"/>
        <family val="2"/>
        <charset val="1"/>
      </rPr>
      <t xml:space="preserve">Year1</t>
    </r>
    <r>
      <rPr>
        <sz val="11"/>
        <color theme="1"/>
        <rFont val="WenQuanYi Zen Hei"/>
        <family val="2"/>
      </rPr>
      <t xml:space="preserve">適用だと収支をさらに悪化させる</t>
    </r>
    <r>
      <rPr>
        <sz val="11"/>
        <color theme="1"/>
        <rFont val="Calibri"/>
        <family val="2"/>
        <charset val="1"/>
      </rPr>
      <t xml:space="preserve">(</t>
    </r>
    <r>
      <rPr>
        <sz val="11"/>
        <color theme="1"/>
        <rFont val="WenQuanYi Zen Hei"/>
        <family val="2"/>
      </rPr>
      <t xml:space="preserve">下記の年次試算を参照</t>
    </r>
    <r>
      <rPr>
        <sz val="11"/>
        <color theme="1"/>
        <rFont val="Calibri"/>
        <family val="2"/>
        <charset val="1"/>
      </rPr>
      <t xml:space="preserve">)</t>
    </r>
    <r>
      <rPr>
        <sz val="11"/>
        <color theme="1"/>
        <rFont val="WenQuanYi Zen Hei"/>
        <family val="2"/>
      </rPr>
      <t xml:space="preserve">。そこで「収支計画</t>
    </r>
    <r>
      <rPr>
        <sz val="11"/>
        <color theme="1"/>
        <rFont val="Calibri"/>
        <family val="2"/>
        <charset val="1"/>
      </rPr>
      <t xml:space="preserve">5</t>
    </r>
    <r>
      <rPr>
        <sz val="11"/>
        <color theme="1"/>
        <rFont val="WenQuanYi Zen Hei"/>
        <family val="2"/>
      </rPr>
      <t xml:space="preserve">年」シートでは、差引効果がプラスに転じる</t>
    </r>
    <r>
      <rPr>
        <sz val="11"/>
        <color theme="1"/>
        <rFont val="Calibri"/>
        <family val="2"/>
        <charset val="1"/>
      </rPr>
      <t xml:space="preserve">Year3</t>
    </r>
    <r>
      <rPr>
        <sz val="11"/>
        <color theme="1"/>
        <rFont val="WenQuanYi Zen Hei"/>
        <family val="2"/>
      </rPr>
      <t xml:space="preserve">以降でのみ適用する「採用フラグ」を設け、</t>
    </r>
    <r>
      <rPr>
        <sz val="11"/>
        <color theme="1"/>
        <rFont val="Calibri"/>
        <family val="2"/>
        <charset val="1"/>
      </rPr>
      <t xml:space="preserve">Year1-2</t>
    </r>
    <r>
      <rPr>
        <sz val="11"/>
        <color theme="1"/>
        <rFont val="WenQuanYi Zen Hei"/>
        <family val="2"/>
      </rPr>
      <t xml:space="preserve">は見送る設計とした。Ⅱ・Ⅰは現在の人件費水準では通期で不採算のため不採用。</t>
    </r>
  </si>
  <si>
    <r>
      <rPr>
        <b val="true"/>
        <sz val="11"/>
        <rFont val="WenQuanYi Zen Hei"/>
        <family val="2"/>
      </rPr>
      <t xml:space="preserve">【人員配置体制加算Ⅲ 年次試算</t>
    </r>
    <r>
      <rPr>
        <b val="true"/>
        <sz val="11"/>
        <rFont val="Arial"/>
        <family val="0"/>
        <charset val="1"/>
      </rPr>
      <t xml:space="preserve">(</t>
    </r>
    <r>
      <rPr>
        <b val="true"/>
        <sz val="11"/>
        <rFont val="WenQuanYi Zen Hei"/>
        <family val="2"/>
      </rPr>
      <t xml:space="preserve">理念優先方針の判断根拠。「収支計画</t>
    </r>
    <r>
      <rPr>
        <b val="true"/>
        <sz val="11"/>
        <rFont val="Arial"/>
        <family val="0"/>
        <charset val="1"/>
      </rPr>
      <t xml:space="preserve">5</t>
    </r>
    <r>
      <rPr>
        <b val="true"/>
        <sz val="11"/>
        <rFont val="WenQuanYi Zen Hei"/>
        <family val="2"/>
      </rPr>
      <t xml:space="preserve">年」シートの採用フラグと連動</t>
    </r>
    <r>
      <rPr>
        <b val="true"/>
        <sz val="11"/>
        <rFont val="Arial"/>
        <family val="0"/>
        <charset val="1"/>
      </rPr>
      <t xml:space="preserve">)</t>
    </r>
    <r>
      <rPr>
        <b val="true"/>
        <sz val="11"/>
        <rFont val="WenQuanYi Zen Hei"/>
        <family val="2"/>
      </rPr>
      <t xml:space="preserve">】</t>
    </r>
  </si>
  <si>
    <r>
      <rPr>
        <sz val="11"/>
        <color rgb="FF000000"/>
        <rFont val="WenQuanYi Zen Hei"/>
        <family val="2"/>
      </rPr>
      <t xml:space="preserve">想定利用者数</t>
    </r>
    <r>
      <rPr>
        <sz val="11"/>
        <color rgb="FF000000"/>
        <rFont val="Arial"/>
        <family val="0"/>
        <charset val="1"/>
      </rPr>
      <t xml:space="preserve">/</t>
    </r>
    <r>
      <rPr>
        <sz val="11"/>
        <color rgb="FF000000"/>
        <rFont val="WenQuanYi Zen Hei"/>
        <family val="2"/>
      </rPr>
      <t xml:space="preserve">日</t>
    </r>
    <r>
      <rPr>
        <sz val="11"/>
        <color rgb="FF000000"/>
        <rFont val="Arial"/>
        <family val="0"/>
        <charset val="1"/>
      </rPr>
      <t xml:space="preserve">(</t>
    </r>
    <r>
      <rPr>
        <sz val="11"/>
        <color rgb="FF000000"/>
        <rFont val="WenQuanYi Zen Hei"/>
        <family val="2"/>
      </rPr>
      <t xml:space="preserve">人</t>
    </r>
    <r>
      <rPr>
        <sz val="11"/>
        <color rgb="FF000000"/>
        <rFont val="Arial"/>
        <family val="0"/>
        <charset val="1"/>
      </rPr>
      <t xml:space="preserve">)</t>
    </r>
  </si>
  <si>
    <r>
      <rPr>
        <sz val="11"/>
        <color rgb="FF000000"/>
        <rFont val="WenQuanYi Zen Hei"/>
        <family val="2"/>
      </rPr>
      <t xml:space="preserve">追加人件費</t>
    </r>
    <r>
      <rPr>
        <sz val="11"/>
        <color rgb="FF000000"/>
        <rFont val="Arial"/>
        <family val="0"/>
        <charset val="1"/>
      </rPr>
      <t xml:space="preserve">(</t>
    </r>
    <r>
      <rPr>
        <sz val="11"/>
        <color rgb="FF000000"/>
        <rFont val="WenQuanYi Zen Hei"/>
        <family val="2"/>
      </rPr>
      <t xml:space="preserve">年、想定通年ベース</t>
    </r>
    <r>
      <rPr>
        <sz val="11"/>
        <color rgb="FF000000"/>
        <rFont val="Arial"/>
        <family val="0"/>
        <charset val="1"/>
      </rPr>
      <t xml:space="preserve">)</t>
    </r>
  </si>
  <si>
    <r>
      <rPr>
        <sz val="11"/>
        <color rgb="FF000000"/>
        <rFont val="WenQuanYi Zen Hei"/>
        <family val="2"/>
      </rPr>
      <t xml:space="preserve">追加収入</t>
    </r>
    <r>
      <rPr>
        <sz val="11"/>
        <color rgb="FF000000"/>
        <rFont val="Arial"/>
        <family val="0"/>
        <charset val="1"/>
      </rPr>
      <t xml:space="preserve">(</t>
    </r>
    <r>
      <rPr>
        <sz val="11"/>
        <color rgb="FF000000"/>
        <rFont val="WenQuanYi Zen Hei"/>
        <family val="2"/>
      </rPr>
      <t xml:space="preserve">年</t>
    </r>
    <r>
      <rPr>
        <sz val="11"/>
        <color rgb="FF000000"/>
        <rFont val="Arial"/>
        <family val="0"/>
        <charset val="1"/>
      </rPr>
      <t xml:space="preserve">)</t>
    </r>
  </si>
  <si>
    <r>
      <rPr>
        <b val="true"/>
        <sz val="11"/>
        <rFont val="WenQuanYi Zen Hei"/>
        <family val="2"/>
      </rPr>
      <t xml:space="preserve">差引効果</t>
    </r>
    <r>
      <rPr>
        <b val="true"/>
        <sz val="11"/>
        <rFont val="Arial"/>
        <family val="0"/>
        <charset val="1"/>
      </rPr>
      <t xml:space="preserve">(</t>
    </r>
    <r>
      <rPr>
        <b val="true"/>
        <sz val="11"/>
        <rFont val="WenQuanYi Zen Hei"/>
        <family val="2"/>
      </rPr>
      <t xml:space="preserve">年、フラグ適用前の仮採用ベース</t>
    </r>
    <r>
      <rPr>
        <b val="true"/>
        <sz val="11"/>
        <rFont val="Arial"/>
        <family val="0"/>
        <charset val="1"/>
      </rPr>
      <t xml:space="preserve">)</t>
    </r>
  </si>
  <si>
    <r>
      <rPr>
        <sz val="11"/>
        <color rgb="FF000000"/>
        <rFont val="WenQuanYi Zen Hei"/>
        <family val="2"/>
      </rPr>
      <t xml:space="preserve">採用フラグ</t>
    </r>
    <r>
      <rPr>
        <sz val="11"/>
        <color rgb="FF000000"/>
        <rFont val="Arial"/>
        <family val="0"/>
        <charset val="1"/>
      </rPr>
      <t xml:space="preserve">(</t>
    </r>
    <r>
      <rPr>
        <sz val="11"/>
        <color rgb="FF000000"/>
        <rFont val="WenQuanYi Zen Hei"/>
        <family val="2"/>
      </rPr>
      <t xml:space="preserve">実際に「収支計画</t>
    </r>
    <r>
      <rPr>
        <sz val="11"/>
        <color rgb="FF000000"/>
        <rFont val="Arial"/>
        <family val="0"/>
        <charset val="1"/>
      </rPr>
      <t xml:space="preserve">5</t>
    </r>
    <r>
      <rPr>
        <sz val="11"/>
        <color rgb="FF000000"/>
        <rFont val="WenQuanYi Zen Hei"/>
        <family val="2"/>
      </rPr>
      <t xml:space="preserve">年」で適用するか</t>
    </r>
    <r>
      <rPr>
        <sz val="11"/>
        <color rgb="FF000000"/>
        <rFont val="Arial"/>
        <family val="0"/>
        <charset val="1"/>
      </rPr>
      <t xml:space="preserve">)</t>
    </r>
  </si>
  <si>
    <r>
      <rPr>
        <sz val="11"/>
        <color theme="1"/>
        <rFont val="WenQuanYi Zen Hei"/>
        <family val="2"/>
      </rPr>
      <t xml:space="preserve">※差引効果は</t>
    </r>
    <r>
      <rPr>
        <sz val="11"/>
        <color theme="1"/>
        <rFont val="Calibri"/>
        <family val="2"/>
        <charset val="1"/>
      </rPr>
      <t xml:space="preserve">Year1</t>
    </r>
    <r>
      <rPr>
        <sz val="11"/>
        <color theme="1"/>
        <rFont val="WenQuanYi Zen Hei"/>
        <family val="2"/>
      </rPr>
      <t xml:space="preserve">・</t>
    </r>
    <r>
      <rPr>
        <sz val="11"/>
        <color theme="1"/>
        <rFont val="Calibri"/>
        <family val="2"/>
        <charset val="1"/>
      </rPr>
      <t xml:space="preserve">Year2</t>
    </r>
    <r>
      <rPr>
        <sz val="11"/>
        <color theme="1"/>
        <rFont val="WenQuanYi Zen Hei"/>
        <family val="2"/>
      </rPr>
      <t xml:space="preserve">でマイナス</t>
    </r>
    <r>
      <rPr>
        <sz val="11"/>
        <color theme="1"/>
        <rFont val="Calibri"/>
        <family val="2"/>
        <charset val="1"/>
      </rPr>
      <t xml:space="preserve">(</t>
    </r>
    <r>
      <rPr>
        <sz val="11"/>
        <color theme="1"/>
        <rFont val="WenQuanYi Zen Hei"/>
        <family val="2"/>
      </rPr>
      <t xml:space="preserve">追加人件費が追加収入を上回る</t>
    </r>
    <r>
      <rPr>
        <sz val="11"/>
        <color theme="1"/>
        <rFont val="Calibri"/>
        <family val="2"/>
        <charset val="1"/>
      </rPr>
      <t xml:space="preserve">)</t>
    </r>
    <r>
      <rPr>
        <sz val="11"/>
        <color theme="1"/>
        <rFont val="WenQuanYi Zen Hei"/>
        <family val="2"/>
      </rPr>
      <t xml:space="preserve">、</t>
    </r>
    <r>
      <rPr>
        <sz val="11"/>
        <color theme="1"/>
        <rFont val="Calibri"/>
        <family val="2"/>
        <charset val="1"/>
      </rPr>
      <t xml:space="preserve">Year3</t>
    </r>
    <r>
      <rPr>
        <sz val="11"/>
        <color theme="1"/>
        <rFont val="WenQuanYi Zen Hei"/>
        <family val="2"/>
      </rPr>
      <t xml:space="preserve">で黒字転換する。これが「収支計画</t>
    </r>
    <r>
      <rPr>
        <sz val="11"/>
        <color theme="1"/>
        <rFont val="Calibri"/>
        <family val="2"/>
        <charset val="1"/>
      </rPr>
      <t xml:space="preserve">5</t>
    </r>
    <r>
      <rPr>
        <sz val="11"/>
        <color theme="1"/>
        <rFont val="WenQuanYi Zen Hei"/>
        <family val="2"/>
      </rPr>
      <t xml:space="preserve">年」シートの採用フラグを</t>
    </r>
    <r>
      <rPr>
        <sz val="11"/>
        <color theme="1"/>
        <rFont val="Calibri"/>
        <family val="2"/>
        <charset val="1"/>
      </rPr>
      <t xml:space="preserve">Year1-2=0</t>
    </r>
    <r>
      <rPr>
        <sz val="11"/>
        <color theme="1"/>
        <rFont val="WenQuanYi Zen Hei"/>
        <family val="2"/>
      </rPr>
      <t xml:space="preserve">、</t>
    </r>
    <r>
      <rPr>
        <sz val="11"/>
        <color theme="1"/>
        <rFont val="Calibri"/>
        <family val="2"/>
        <charset val="1"/>
      </rPr>
      <t xml:space="preserve">Year3</t>
    </r>
    <r>
      <rPr>
        <sz val="11"/>
        <color theme="1"/>
        <rFont val="WenQuanYi Zen Hei"/>
        <family val="2"/>
      </rPr>
      <t xml:space="preserve">以降</t>
    </r>
    <r>
      <rPr>
        <sz val="11"/>
        <color theme="1"/>
        <rFont val="Calibri"/>
        <family val="2"/>
        <charset val="1"/>
      </rPr>
      <t xml:space="preserve">=1</t>
    </r>
    <r>
      <rPr>
        <sz val="11"/>
        <color theme="1"/>
        <rFont val="WenQuanYi Zen Hei"/>
        <family val="2"/>
      </rPr>
      <t xml:space="preserve">に設定した根拠。</t>
    </r>
    <r>
      <rPr>
        <sz val="11"/>
        <color theme="1"/>
        <rFont val="Calibri"/>
        <family val="2"/>
        <charset val="1"/>
      </rPr>
      <t xml:space="preserve">Year1</t>
    </r>
    <r>
      <rPr>
        <sz val="11"/>
        <color theme="1"/>
        <rFont val="WenQuanYi Zen Hei"/>
        <family val="2"/>
      </rPr>
      <t xml:space="preserve">から通年で加算Ⅲを採用すると、資金繰りが最も厳しい開設初年度の赤字をさらに拡大させてしまうため。</t>
    </r>
  </si>
  <si>
    <r>
      <rPr>
        <b val="true"/>
        <sz val="11"/>
        <rFont val="WenQuanYi Zen Hei"/>
        <family val="2"/>
      </rPr>
      <t xml:space="preserve">【② 重度障害者支援加算</t>
    </r>
    <r>
      <rPr>
        <b val="true"/>
        <sz val="11"/>
        <rFont val="Arial"/>
        <family val="0"/>
        <charset val="1"/>
      </rPr>
      <t xml:space="preserve">(</t>
    </r>
    <r>
      <rPr>
        <b val="true"/>
        <sz val="11"/>
        <rFont val="WenQuanYi Zen Hei"/>
        <family val="2"/>
      </rPr>
      <t xml:space="preserve">該当者の受け入れが前提。追加人件費は原則不要</t>
    </r>
    <r>
      <rPr>
        <b val="true"/>
        <sz val="11"/>
        <rFont val="Arial"/>
        <family val="0"/>
        <charset val="1"/>
      </rPr>
      <t xml:space="preserve">)</t>
    </r>
    <r>
      <rPr>
        <b val="true"/>
        <sz val="11"/>
        <rFont val="WenQuanYi Zen Hei"/>
        <family val="2"/>
      </rPr>
      <t xml:space="preserve">】</t>
    </r>
  </si>
  <si>
    <t xml:space="preserve">区分</t>
  </si>
  <si>
    <r>
      <rPr>
        <b val="true"/>
        <sz val="11"/>
        <color rgb="FFFFFFFF"/>
        <rFont val="WenQuanYi Zen Hei"/>
        <family val="2"/>
      </rPr>
      <t xml:space="preserve">該当者数</t>
    </r>
    <r>
      <rPr>
        <b val="true"/>
        <sz val="11"/>
        <color rgb="FFFFFFFF"/>
        <rFont val="Arial"/>
        <family val="0"/>
        <charset val="1"/>
      </rPr>
      <t xml:space="preserve">(</t>
    </r>
    <r>
      <rPr>
        <b val="true"/>
        <sz val="11"/>
        <color rgb="FFFFFFFF"/>
        <rFont val="WenQuanYi Zen Hei"/>
        <family val="2"/>
      </rPr>
      <t xml:space="preserve">想定・入力</t>
    </r>
    <r>
      <rPr>
        <b val="true"/>
        <sz val="11"/>
        <color rgb="FFFFFFFF"/>
        <rFont val="Arial"/>
        <family val="0"/>
        <charset val="1"/>
      </rPr>
      <t xml:space="preserve">)</t>
    </r>
  </si>
  <si>
    <r>
      <rPr>
        <b val="true"/>
        <sz val="11"/>
        <color rgb="FFFFFFFF"/>
        <rFont val="WenQuanYi Zen Hei"/>
        <family val="2"/>
      </rPr>
      <t xml:space="preserve">追加人件費</t>
    </r>
    <r>
      <rPr>
        <b val="true"/>
        <sz val="11"/>
        <color rgb="FFFFFFFF"/>
        <rFont val="Arial"/>
        <family val="0"/>
        <charset val="1"/>
      </rPr>
      <t xml:space="preserve">(</t>
    </r>
    <r>
      <rPr>
        <b val="true"/>
        <sz val="11"/>
        <color rgb="FFFFFFFF"/>
        <rFont val="WenQuanYi Zen Hei"/>
        <family val="2"/>
      </rPr>
      <t xml:space="preserve">年、概算</t>
    </r>
    <r>
      <rPr>
        <b val="true"/>
        <sz val="11"/>
        <color rgb="FFFFFFFF"/>
        <rFont val="Arial"/>
        <family val="0"/>
        <charset val="1"/>
      </rPr>
      <t xml:space="preserve">)</t>
    </r>
  </si>
  <si>
    <r>
      <rPr>
        <sz val="11"/>
        <color rgb="FF000000"/>
        <rFont val="Arial"/>
        <family val="0"/>
        <charset val="1"/>
      </rPr>
      <t xml:space="preserve">Ⅲ(</t>
    </r>
    <r>
      <rPr>
        <sz val="11"/>
        <color rgb="FF000000"/>
        <rFont val="WenQuanYi Zen Hei"/>
        <family val="2"/>
      </rPr>
      <t xml:space="preserve">区分</t>
    </r>
    <r>
      <rPr>
        <sz val="11"/>
        <color rgb="FF000000"/>
        <rFont val="Arial"/>
        <family val="0"/>
        <charset val="1"/>
      </rPr>
      <t xml:space="preserve">6</t>
    </r>
    <r>
      <rPr>
        <sz val="11"/>
        <color rgb="FF000000"/>
        <rFont val="WenQuanYi Zen Hei"/>
        <family val="2"/>
      </rPr>
      <t xml:space="preserve">かつ行動関連項目</t>
    </r>
    <r>
      <rPr>
        <sz val="11"/>
        <color rgb="FF000000"/>
        <rFont val="Arial"/>
        <family val="0"/>
        <charset val="1"/>
      </rPr>
      <t xml:space="preserve">10</t>
    </r>
    <r>
      <rPr>
        <sz val="11"/>
        <color rgb="FF000000"/>
        <rFont val="WenQuanYi Zen Hei"/>
        <family val="2"/>
      </rPr>
      <t xml:space="preserve">点以上</t>
    </r>
    <r>
      <rPr>
        <sz val="11"/>
        <color rgb="FF000000"/>
        <rFont val="Arial"/>
        <family val="0"/>
        <charset val="1"/>
      </rPr>
      <t xml:space="preserve">)</t>
    </r>
  </si>
  <si>
    <r>
      <rPr>
        <sz val="11"/>
        <color theme="1"/>
        <rFont val="WenQuanYi Zen Hei"/>
        <family val="2"/>
      </rPr>
      <t xml:space="preserve">※要件：生活支援員の</t>
    </r>
    <r>
      <rPr>
        <sz val="11"/>
        <color theme="1"/>
        <rFont val="Calibri"/>
        <family val="2"/>
        <charset val="1"/>
      </rPr>
      <t xml:space="preserve">20%</t>
    </r>
    <r>
      <rPr>
        <sz val="11"/>
        <color theme="1"/>
        <rFont val="WenQuanYi Zen Hei"/>
        <family val="2"/>
      </rPr>
      <t xml:space="preserve">以上が強度行動障害支援者養成研修</t>
    </r>
    <r>
      <rPr>
        <sz val="11"/>
        <color theme="1"/>
        <rFont val="Calibri"/>
        <family val="2"/>
        <charset val="1"/>
      </rPr>
      <t xml:space="preserve">(</t>
    </r>
    <r>
      <rPr>
        <sz val="11"/>
        <color theme="1"/>
        <rFont val="WenQuanYi Zen Hei"/>
        <family val="2"/>
      </rPr>
      <t xml:space="preserve">基礎研修</t>
    </r>
    <r>
      <rPr>
        <sz val="11"/>
        <color theme="1"/>
        <rFont val="Calibri"/>
        <family val="2"/>
        <charset val="1"/>
      </rPr>
      <t xml:space="preserve">)</t>
    </r>
    <r>
      <rPr>
        <sz val="11"/>
        <color theme="1"/>
        <rFont val="WenQuanYi Zen Hei"/>
        <family val="2"/>
      </rPr>
      <t xml:space="preserve">修了者であること、サービス管理責任者又は生活支援員</t>
    </r>
    <r>
      <rPr>
        <sz val="11"/>
        <color theme="1"/>
        <rFont val="Calibri"/>
        <family val="2"/>
        <charset val="1"/>
      </rPr>
      <t xml:space="preserve">1</t>
    </r>
    <r>
      <rPr>
        <sz val="11"/>
        <color theme="1"/>
        <rFont val="WenQuanYi Zen Hei"/>
        <family val="2"/>
      </rPr>
      <t xml:space="preserve">名以上が実践研修修了者であること</t>
    </r>
    <r>
      <rPr>
        <sz val="11"/>
        <color theme="1"/>
        <rFont val="Calibri"/>
        <family val="2"/>
        <charset val="1"/>
      </rPr>
      <t xml:space="preserve">(</t>
    </r>
    <r>
      <rPr>
        <sz val="11"/>
        <color theme="1"/>
        <rFont val="WenQuanYi Zen Hei"/>
        <family val="2"/>
      </rPr>
      <t xml:space="preserve">丸山氏または生活支援員の研修受講で対応可、追加人件費は原則不要と想定</t>
    </r>
    <r>
      <rPr>
        <sz val="11"/>
        <color theme="1"/>
        <rFont val="Calibri"/>
        <family val="2"/>
        <charset val="1"/>
      </rPr>
      <t xml:space="preserve">)</t>
    </r>
    <r>
      <rPr>
        <sz val="11"/>
        <color theme="1"/>
        <rFont val="WenQuanYi Zen Hei"/>
        <family val="2"/>
      </rPr>
      <t xml:space="preserve">。該当者数は「区分</t>
    </r>
    <r>
      <rPr>
        <sz val="11"/>
        <color theme="1"/>
        <rFont val="Calibri"/>
        <family val="2"/>
        <charset val="1"/>
      </rPr>
      <t xml:space="preserve">6</t>
    </r>
    <r>
      <rPr>
        <sz val="11"/>
        <color theme="1"/>
        <rFont val="WenQuanYi Zen Hei"/>
        <family val="2"/>
      </rPr>
      <t xml:space="preserve">かつ行動関連項目</t>
    </r>
    <r>
      <rPr>
        <sz val="11"/>
        <color theme="1"/>
        <rFont val="Calibri"/>
        <family val="2"/>
        <charset val="1"/>
      </rPr>
      <t xml:space="preserve">10</t>
    </r>
    <r>
      <rPr>
        <sz val="11"/>
        <color theme="1"/>
        <rFont val="WenQuanYi Zen Hei"/>
        <family val="2"/>
      </rPr>
      <t xml:space="preserve">点以上」の利用者の受け入れ見込みであり、営業活動</t>
    </r>
    <r>
      <rPr>
        <sz val="11"/>
        <color theme="1"/>
        <rFont val="Calibri"/>
        <family val="2"/>
        <charset val="1"/>
      </rPr>
      <t xml:space="preserve">(</t>
    </r>
    <r>
      <rPr>
        <sz val="11"/>
        <color theme="1"/>
        <rFont val="WenQuanYi Zen Hei"/>
        <family val="2"/>
      </rPr>
      <t xml:space="preserve">第</t>
    </r>
    <r>
      <rPr>
        <sz val="11"/>
        <color theme="1"/>
        <rFont val="Calibri"/>
        <family val="2"/>
        <charset val="1"/>
      </rPr>
      <t xml:space="preserve">4</t>
    </r>
    <r>
      <rPr>
        <sz val="11"/>
        <color theme="1"/>
        <rFont val="WenQuanYi Zen Hei"/>
        <family val="2"/>
      </rPr>
      <t xml:space="preserve">章</t>
    </r>
    <r>
      <rPr>
        <sz val="11"/>
        <color theme="1"/>
        <rFont val="Calibri"/>
        <family val="2"/>
        <charset val="1"/>
      </rPr>
      <t xml:space="preserve">)</t>
    </r>
    <r>
      <rPr>
        <sz val="11"/>
        <color theme="1"/>
        <rFont val="WenQuanYi Zen Hei"/>
        <family val="2"/>
      </rPr>
      <t xml:space="preserve">の結果次第で変動する。加算算定開始から</t>
    </r>
    <r>
      <rPr>
        <sz val="11"/>
        <color theme="1"/>
        <rFont val="Calibri"/>
        <family val="2"/>
        <charset val="1"/>
      </rPr>
      <t xml:space="preserve">180</t>
    </r>
    <r>
      <rPr>
        <sz val="11"/>
        <color theme="1"/>
        <rFont val="WenQuanYi Zen Hei"/>
        <family val="2"/>
      </rPr>
      <t xml:space="preserve">日以内はさらに上乗せがある制度になっているため、実際にはこれより上振れる可能性がある。</t>
    </r>
  </si>
</sst>
</file>

<file path=xl/styles.xml><?xml version="1.0" encoding="utf-8"?>
<styleSheet xmlns="http://schemas.openxmlformats.org/spreadsheetml/2006/main">
  <numFmts count="6">
    <numFmt numFmtId="164" formatCode="General"/>
    <numFmt numFmtId="165" formatCode="#,##0\円"/>
    <numFmt numFmtId="166" formatCode="0.00\円"/>
    <numFmt numFmtId="167" formatCode="0.0%"/>
    <numFmt numFmtId="168" formatCode="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b val="true"/>
      <sz val="14"/>
      <name val="Arial"/>
      <family val="0"/>
      <charset val="1"/>
    </font>
    <font>
      <b val="true"/>
      <sz val="11"/>
      <name val="WenQuanYi Zen Hei"/>
      <family val="2"/>
    </font>
    <font>
      <b val="true"/>
      <sz val="11"/>
      <name val="Arial"/>
      <family val="0"/>
      <charset val="1"/>
    </font>
    <font>
      <sz val="11"/>
      <color rgb="FF000000"/>
      <name val="WenQuanYi Zen Hei"/>
      <family val="2"/>
    </font>
    <font>
      <sz val="11"/>
      <color rgb="FF000000"/>
      <name val="Arial"/>
      <family val="0"/>
      <charset val="1"/>
    </font>
    <font>
      <b val="true"/>
      <sz val="11"/>
      <color rgb="FFFFFFFF"/>
      <name val="WenQuanYi Zen Hei"/>
      <family val="2"/>
    </font>
    <font>
      <b val="true"/>
      <sz val="11"/>
      <color rgb="FFFFFFFF"/>
      <name val="Arial"/>
      <family val="0"/>
      <charset val="1"/>
    </font>
    <font>
      <sz val="11"/>
      <color theme="1"/>
      <name val="WenQuanYi Zen Hei"/>
      <family val="2"/>
    </font>
    <font>
      <sz val="11"/>
      <color rgb="FF0000FF"/>
      <name val="Arial"/>
      <family val="0"/>
      <charset val="1"/>
    </font>
  </fonts>
  <fills count="6">
    <fill>
      <patternFill patternType="none"/>
    </fill>
    <fill>
      <patternFill patternType="gray125"/>
    </fill>
    <fill>
      <patternFill patternType="solid">
        <fgColor rgb="FF305496"/>
        <bgColor rgb="FF666699"/>
      </patternFill>
    </fill>
    <fill>
      <patternFill patternType="solid">
        <fgColor rgb="FFD9E1F2"/>
        <bgColor rgb="FFCCFFFF"/>
      </patternFill>
    </fill>
    <fill>
      <patternFill patternType="solid">
        <fgColor rgb="FFFFFF00"/>
        <bgColor rgb="FFFFFF00"/>
      </patternFill>
    </fill>
    <fill>
      <patternFill patternType="solid">
        <fgColor rgb="FFFFC7CE"/>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0"/>
  </cols>
  <sheetData>
    <row r="1" customFormat="false" ht="19.4" hidden="false" customHeight="false" outlineLevel="0" collapsed="false">
      <c r="A1" s="1" t="s">
        <v>0</v>
      </c>
    </row>
    <row r="3" customFormat="false" ht="14.9" hidden="false" customHeight="false" outlineLevel="0" collapsed="false">
      <c r="A3" s="2" t="s">
        <v>1</v>
      </c>
    </row>
    <row r="4" customFormat="false" ht="33.75" hidden="false" customHeight="true" outlineLevel="0" collapsed="false">
      <c r="A4" s="3" t="s">
        <v>2</v>
      </c>
    </row>
    <row r="5" customFormat="false" ht="33.75" hidden="false" customHeight="true" outlineLevel="0" collapsed="false">
      <c r="A5" s="3" t="s">
        <v>3</v>
      </c>
    </row>
    <row r="6" customFormat="false" ht="33.75" hidden="false" customHeight="true" outlineLevel="0" collapsed="false">
      <c r="A6" s="3" t="s">
        <v>4</v>
      </c>
    </row>
    <row r="7" customFormat="false" ht="33.75" hidden="false" customHeight="true" outlineLevel="0" collapsed="false">
      <c r="A7" s="3" t="s">
        <v>5</v>
      </c>
    </row>
    <row r="8" customFormat="false" ht="33.75" hidden="false" customHeight="true" outlineLevel="0" collapsed="false">
      <c r="A8" s="3"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30"/>
  </cols>
  <sheetData>
    <row r="1" customFormat="false" ht="14.9" hidden="false" customHeight="false" outlineLevel="0" collapsed="false">
      <c r="A1" s="4" t="s">
        <v>7</v>
      </c>
      <c r="B1" s="4"/>
      <c r="C1" s="4"/>
    </row>
    <row r="2" customFormat="false" ht="15" hidden="false" customHeight="false" outlineLevel="0" collapsed="false">
      <c r="A2" s="5" t="s">
        <v>8</v>
      </c>
      <c r="B2" s="5" t="s">
        <v>9</v>
      </c>
      <c r="C2" s="5" t="s">
        <v>10</v>
      </c>
    </row>
    <row r="3" customFormat="false" ht="15" hidden="false" customHeight="false" outlineLevel="0" collapsed="false">
      <c r="A3" s="6" t="n">
        <v>2</v>
      </c>
      <c r="B3" s="6" t="n">
        <v>546</v>
      </c>
      <c r="C3" s="6" t="n">
        <v>6</v>
      </c>
    </row>
    <row r="4" customFormat="false" ht="15" hidden="false" customHeight="false" outlineLevel="0" collapsed="false">
      <c r="A4" s="6" t="n">
        <v>3</v>
      </c>
      <c r="B4" s="6" t="n">
        <v>599</v>
      </c>
      <c r="C4" s="6" t="n">
        <v>6</v>
      </c>
    </row>
    <row r="5" customFormat="false" ht="15" hidden="false" customHeight="false" outlineLevel="0" collapsed="false">
      <c r="A5" s="6" t="n">
        <v>4</v>
      </c>
      <c r="B5" s="6" t="n">
        <v>669</v>
      </c>
      <c r="C5" s="6" t="n">
        <v>5</v>
      </c>
    </row>
    <row r="6" customFormat="false" ht="15" hidden="false" customHeight="false" outlineLevel="0" collapsed="false">
      <c r="A6" s="6" t="n">
        <v>5</v>
      </c>
      <c r="B6" s="6" t="n">
        <v>964</v>
      </c>
      <c r="C6" s="6" t="n">
        <v>3</v>
      </c>
    </row>
    <row r="7" customFormat="false" ht="15" hidden="false" customHeight="false" outlineLevel="0" collapsed="false">
      <c r="A7" s="6" t="n">
        <v>6</v>
      </c>
      <c r="B7" s="6" t="n">
        <v>1288</v>
      </c>
      <c r="C7" s="6" t="n">
        <v>3</v>
      </c>
    </row>
    <row r="9" customFormat="false" ht="60" hidden="false" customHeight="true" outlineLevel="0" collapsed="false">
      <c r="A9" s="7" t="s">
        <v>11</v>
      </c>
      <c r="B9" s="7"/>
      <c r="C9" s="7"/>
    </row>
  </sheetData>
  <mergeCells count="2">
    <mergeCell ref="A1:C1"/>
    <mergeCell ref="A9:C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30"/>
    <col collapsed="false" customWidth="true" hidden="false" outlineLevel="0" max="4" min="4" style="0" width="46"/>
  </cols>
  <sheetData>
    <row r="1" customFormat="false" ht="19.4" hidden="false" customHeight="false" outlineLevel="0" collapsed="false">
      <c r="A1" s="8" t="s">
        <v>12</v>
      </c>
      <c r="B1" s="8"/>
      <c r="C1" s="8"/>
      <c r="D1" s="8"/>
    </row>
    <row r="2" customFormat="false" ht="45" hidden="false" customHeight="true" outlineLevel="0" collapsed="false">
      <c r="A2" s="7" t="s">
        <v>13</v>
      </c>
      <c r="B2" s="7"/>
      <c r="C2" s="7"/>
      <c r="D2" s="7"/>
    </row>
    <row r="3" customFormat="false" ht="15" hidden="false" customHeight="false" outlineLevel="0" collapsed="false">
      <c r="A3" s="5" t="s">
        <v>14</v>
      </c>
      <c r="B3" s="5" t="s">
        <v>15</v>
      </c>
      <c r="C3" s="5" t="s">
        <v>16</v>
      </c>
      <c r="D3" s="5" t="s">
        <v>17</v>
      </c>
    </row>
    <row r="4" customFormat="false" ht="28.35" hidden="false" customHeight="false" outlineLevel="0" collapsed="false">
      <c r="A4" s="9" t="s">
        <v>18</v>
      </c>
      <c r="B4" s="10" t="n">
        <v>4000000</v>
      </c>
      <c r="C4" s="11" t="s">
        <v>19</v>
      </c>
      <c r="D4" s="12" t="s">
        <v>20</v>
      </c>
    </row>
    <row r="5" customFormat="false" ht="28.35" hidden="false" customHeight="false" outlineLevel="0" collapsed="false">
      <c r="A5" s="9" t="s">
        <v>21</v>
      </c>
      <c r="B5" s="10" t="n">
        <v>8000000</v>
      </c>
      <c r="C5" s="11" t="s">
        <v>22</v>
      </c>
      <c r="D5" s="12" t="s">
        <v>23</v>
      </c>
    </row>
    <row r="6" customFormat="false" ht="28.35" hidden="false" customHeight="false" outlineLevel="0" collapsed="false">
      <c r="A6" s="9" t="s">
        <v>24</v>
      </c>
      <c r="B6" s="10" t="n">
        <v>1000000</v>
      </c>
      <c r="C6" s="11" t="s">
        <v>25</v>
      </c>
      <c r="D6" s="12" t="s">
        <v>26</v>
      </c>
    </row>
    <row r="7" customFormat="false" ht="28.35" hidden="false" customHeight="false" outlineLevel="0" collapsed="false">
      <c r="A7" s="9" t="s">
        <v>27</v>
      </c>
      <c r="B7" s="10" t="n">
        <v>1000000</v>
      </c>
      <c r="C7" s="9" t="s">
        <v>28</v>
      </c>
      <c r="D7" s="12" t="s">
        <v>29</v>
      </c>
    </row>
    <row r="8" customFormat="false" ht="15" hidden="false" customHeight="false" outlineLevel="0" collapsed="false">
      <c r="A8" s="9" t="s">
        <v>30</v>
      </c>
      <c r="B8" s="10" t="n">
        <v>2500000</v>
      </c>
      <c r="C8" s="11" t="s">
        <v>31</v>
      </c>
      <c r="D8" s="12" t="s">
        <v>32</v>
      </c>
    </row>
    <row r="9" customFormat="false" ht="28.35" hidden="false" customHeight="false" outlineLevel="0" collapsed="false">
      <c r="A9" s="9" t="s">
        <v>33</v>
      </c>
      <c r="B9" s="10" t="n">
        <v>6000000</v>
      </c>
      <c r="C9" s="11" t="s">
        <v>34</v>
      </c>
      <c r="D9" s="12" t="s">
        <v>35</v>
      </c>
    </row>
    <row r="10" customFormat="false" ht="28.35" hidden="false" customHeight="false" outlineLevel="0" collapsed="false">
      <c r="A10" s="9" t="s">
        <v>36</v>
      </c>
      <c r="B10" s="10" t="n">
        <v>4000000</v>
      </c>
      <c r="C10" s="11" t="s">
        <v>19</v>
      </c>
      <c r="D10" s="12" t="s">
        <v>37</v>
      </c>
    </row>
    <row r="11" customFormat="false" ht="15" hidden="false" customHeight="false" outlineLevel="0" collapsed="false">
      <c r="A11" s="9" t="s">
        <v>38</v>
      </c>
      <c r="B11" s="10" t="n">
        <v>300000</v>
      </c>
      <c r="C11" s="11" t="s">
        <v>39</v>
      </c>
      <c r="D11" s="12" t="s">
        <v>40</v>
      </c>
    </row>
    <row r="12" customFormat="false" ht="15" hidden="false" customHeight="false" outlineLevel="0" collapsed="false">
      <c r="A12" s="9" t="s">
        <v>41</v>
      </c>
      <c r="B12" s="10" t="n">
        <v>2000000</v>
      </c>
      <c r="C12" s="11" t="s">
        <v>42</v>
      </c>
      <c r="D12" s="12"/>
    </row>
    <row r="13" customFormat="false" ht="41.75" hidden="false" customHeight="false" outlineLevel="0" collapsed="false">
      <c r="A13" s="9" t="s">
        <v>43</v>
      </c>
      <c r="B13" s="13" t="n">
        <f aca="false">(B5+B6+B7+B8+B9)*0.1</f>
        <v>1850000</v>
      </c>
      <c r="C13" s="14"/>
      <c r="D13" s="12" t="s">
        <v>44</v>
      </c>
    </row>
    <row r="14" customFormat="false" ht="68.65" hidden="false" customHeight="false" outlineLevel="0" collapsed="false">
      <c r="A14" s="9" t="s">
        <v>45</v>
      </c>
      <c r="B14" s="13" t="n">
        <f aca="false">-'月次資金繰り(Year1)'!$B$17</f>
        <v>32588702.32768</v>
      </c>
      <c r="C14" s="14"/>
      <c r="D14" s="12" t="s">
        <v>46</v>
      </c>
    </row>
    <row r="15" customFormat="false" ht="15" hidden="false" customHeight="false" outlineLevel="0" collapsed="false">
      <c r="A15" s="15" t="s">
        <v>47</v>
      </c>
      <c r="B15" s="16" t="n">
        <f aca="false">SUM(B4:B14)</f>
        <v>63238702.32768</v>
      </c>
      <c r="C15" s="17"/>
      <c r="D15" s="17"/>
    </row>
    <row r="16" customFormat="false" ht="15" hidden="false" customHeight="false" outlineLevel="0" collapsed="false">
      <c r="A16" s="11" t="s">
        <v>48</v>
      </c>
      <c r="B16" s="13" t="n">
        <f aca="false">B5+B6+B7+B8+B9</f>
        <v>18500000</v>
      </c>
      <c r="C16" s="14"/>
      <c r="D16" s="14"/>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20"/>
    <col collapsed="false" customWidth="true" hidden="false" outlineLevel="0" max="3" min="3" style="0" width="60"/>
  </cols>
  <sheetData>
    <row r="1" customFormat="false" ht="19.4" hidden="false" customHeight="false" outlineLevel="0" collapsed="false">
      <c r="A1" s="8" t="s">
        <v>49</v>
      </c>
      <c r="B1" s="8"/>
      <c r="C1" s="8"/>
    </row>
    <row r="2" customFormat="false" ht="15" hidden="false" customHeight="false" outlineLevel="0" collapsed="false">
      <c r="A2" s="5" t="s">
        <v>14</v>
      </c>
      <c r="B2" s="5" t="s">
        <v>50</v>
      </c>
      <c r="C2" s="5" t="s">
        <v>51</v>
      </c>
    </row>
    <row r="3" customFormat="false" ht="15" hidden="false" customHeight="false" outlineLevel="0" collapsed="false">
      <c r="A3" s="9" t="s">
        <v>52</v>
      </c>
      <c r="B3" s="18" t="n">
        <v>20</v>
      </c>
      <c r="C3" s="12" t="s">
        <v>53</v>
      </c>
    </row>
    <row r="4" customFormat="false" ht="41.75" hidden="false" customHeight="false" outlineLevel="0" collapsed="false">
      <c r="A4" s="9" t="s">
        <v>54</v>
      </c>
      <c r="B4" s="19" t="n">
        <v>5</v>
      </c>
      <c r="C4" s="12" t="s">
        <v>55</v>
      </c>
    </row>
    <row r="5" customFormat="false" ht="15" hidden="false" customHeight="false" outlineLevel="0" collapsed="false">
      <c r="A5" s="9" t="s">
        <v>56</v>
      </c>
      <c r="B5" s="9" t="n">
        <f aca="false">INDEX(報酬単価表!$B$3:$B$7,MATCH(B4,報酬単価表!$A$3:$A$7,0))</f>
        <v>964</v>
      </c>
      <c r="C5" s="12" t="s">
        <v>57</v>
      </c>
    </row>
    <row r="6" customFormat="false" ht="15" hidden="false" customHeight="false" outlineLevel="0" collapsed="false">
      <c r="A6" s="9" t="s">
        <v>58</v>
      </c>
      <c r="B6" s="9" t="n">
        <f aca="false">INDEX(報酬単価表!$C$3:$C$7,MATCH(B4,報酬単価表!$A$3:$A$7,0))</f>
        <v>3</v>
      </c>
      <c r="C6" s="12" t="s">
        <v>59</v>
      </c>
    </row>
    <row r="7" customFormat="false" ht="28.35" hidden="false" customHeight="false" outlineLevel="0" collapsed="false">
      <c r="A7" s="9" t="s">
        <v>60</v>
      </c>
      <c r="B7" s="9" t="n">
        <f aca="false">B3*0.9</f>
        <v>18</v>
      </c>
      <c r="C7" s="12" t="s">
        <v>61</v>
      </c>
    </row>
    <row r="8" customFormat="false" ht="15" hidden="false" customHeight="false" outlineLevel="0" collapsed="false">
      <c r="A8" s="9" t="s">
        <v>62</v>
      </c>
      <c r="B8" s="9" t="n">
        <f aca="false">ROUNDUP(B7/B6,0)</f>
        <v>6</v>
      </c>
      <c r="C8" s="12" t="s">
        <v>63</v>
      </c>
    </row>
    <row r="9" customFormat="false" ht="41.75" hidden="false" customHeight="false" outlineLevel="0" collapsed="false">
      <c r="A9" s="9" t="s">
        <v>64</v>
      </c>
      <c r="B9" s="20" t="n">
        <v>10.55</v>
      </c>
      <c r="C9" s="12" t="s">
        <v>65</v>
      </c>
    </row>
    <row r="10" customFormat="false" ht="28.35" hidden="false" customHeight="false" outlineLevel="0" collapsed="false">
      <c r="A10" s="9" t="s">
        <v>66</v>
      </c>
      <c r="B10" s="19" t="n">
        <v>21</v>
      </c>
      <c r="C10" s="12" t="s">
        <v>67</v>
      </c>
    </row>
    <row r="11" customFormat="false" ht="28.35" hidden="false" customHeight="false" outlineLevel="0" collapsed="false">
      <c r="A11" s="9" t="s">
        <v>68</v>
      </c>
      <c r="B11" s="19" t="n">
        <v>1</v>
      </c>
      <c r="C11" s="12" t="s">
        <v>69</v>
      </c>
    </row>
    <row r="12" customFormat="false" ht="15" hidden="false" customHeight="false" outlineLevel="0" collapsed="false">
      <c r="A12" s="9" t="s">
        <v>70</v>
      </c>
      <c r="B12" s="18" t="n">
        <v>28</v>
      </c>
      <c r="C12" s="12" t="s">
        <v>71</v>
      </c>
    </row>
    <row r="13" customFormat="false" ht="15" hidden="false" customHeight="false" outlineLevel="0" collapsed="false">
      <c r="A13" s="9" t="s">
        <v>72</v>
      </c>
      <c r="B13" s="21" t="n">
        <v>0.8</v>
      </c>
      <c r="C13" s="22" t="s">
        <v>73</v>
      </c>
    </row>
    <row r="14" customFormat="false" ht="95.5" hidden="false" customHeight="false" outlineLevel="0" collapsed="false">
      <c r="A14" s="9" t="s">
        <v>74</v>
      </c>
      <c r="B14" s="23" t="n">
        <v>0.084</v>
      </c>
      <c r="C14" s="12" t="s">
        <v>75</v>
      </c>
    </row>
    <row r="15" customFormat="false" ht="68.65" hidden="false" customHeight="false" outlineLevel="0" collapsed="false">
      <c r="A15" s="9" t="s">
        <v>76</v>
      </c>
      <c r="B15" s="24" t="n">
        <v>21</v>
      </c>
      <c r="C15" s="12" t="s">
        <v>77</v>
      </c>
    </row>
    <row r="16" customFormat="false" ht="15" hidden="false" customHeight="false" outlineLevel="0" collapsed="false">
      <c r="A16" s="9" t="s">
        <v>78</v>
      </c>
      <c r="B16" s="18" t="n">
        <v>0.5</v>
      </c>
      <c r="C16" s="22" t="s">
        <v>79</v>
      </c>
    </row>
    <row r="17" customFormat="false" ht="15" hidden="false" customHeight="false" outlineLevel="0" collapsed="false">
      <c r="A17" s="9" t="s">
        <v>80</v>
      </c>
      <c r="B17" s="18" t="n">
        <v>2</v>
      </c>
      <c r="C17" s="12" t="s">
        <v>81</v>
      </c>
    </row>
    <row r="18" customFormat="false" ht="15" hidden="false" customHeight="false" outlineLevel="0" collapsed="false">
      <c r="A18" s="9" t="s">
        <v>82</v>
      </c>
      <c r="B18" s="19" t="n">
        <v>40</v>
      </c>
      <c r="C18" s="12" t="s">
        <v>83</v>
      </c>
    </row>
    <row r="19" customFormat="false" ht="28.35" hidden="false" customHeight="false" outlineLevel="0" collapsed="false">
      <c r="A19" s="9" t="s">
        <v>84</v>
      </c>
      <c r="B19" s="21" t="n">
        <v>0.3</v>
      </c>
      <c r="C19" s="22" t="s">
        <v>85</v>
      </c>
    </row>
    <row r="20" customFormat="false" ht="28.35" hidden="false" customHeight="false" outlineLevel="0" collapsed="false">
      <c r="A20" s="9" t="s">
        <v>86</v>
      </c>
      <c r="B20" s="19" t="n">
        <v>30</v>
      </c>
      <c r="C20" s="12" t="s">
        <v>87</v>
      </c>
    </row>
    <row r="21" customFormat="false" ht="28.35" hidden="false" customHeight="false" outlineLevel="0" collapsed="false">
      <c r="A21" s="9" t="s">
        <v>88</v>
      </c>
      <c r="B21" s="18" t="n">
        <v>250</v>
      </c>
      <c r="C21" s="12" t="s">
        <v>89</v>
      </c>
    </row>
    <row r="22" customFormat="false" ht="15" hidden="false" customHeight="false" outlineLevel="0" collapsed="false">
      <c r="A22" s="9" t="s">
        <v>90</v>
      </c>
      <c r="B22" s="25" t="n">
        <v>400000</v>
      </c>
      <c r="C22" s="12" t="s">
        <v>91</v>
      </c>
    </row>
    <row r="23" customFormat="false" ht="15" hidden="false" customHeight="false" outlineLevel="0" collapsed="false">
      <c r="A23" s="9" t="s">
        <v>92</v>
      </c>
      <c r="B23" s="10" t="n">
        <v>900000</v>
      </c>
      <c r="C23" s="12" t="s">
        <v>93</v>
      </c>
    </row>
    <row r="24" customFormat="false" ht="15" hidden="false" customHeight="false" outlineLevel="0" collapsed="false">
      <c r="A24" s="9" t="s">
        <v>94</v>
      </c>
      <c r="B24" s="26" t="n">
        <f aca="false">SUM(B29:B37)</f>
        <v>4650000</v>
      </c>
      <c r="C24" s="12" t="s">
        <v>95</v>
      </c>
    </row>
    <row r="25" customFormat="false" ht="15" hidden="false" customHeight="false" outlineLevel="0" collapsed="false">
      <c r="A25" s="9" t="s">
        <v>96</v>
      </c>
      <c r="B25" s="13" t="n">
        <f aca="false">初期投資!$B$16</f>
        <v>18500000</v>
      </c>
      <c r="C25" s="12" t="s">
        <v>95</v>
      </c>
    </row>
    <row r="26" customFormat="false" ht="15" hidden="false" customHeight="false" outlineLevel="0" collapsed="false">
      <c r="A26" s="9" t="s">
        <v>97</v>
      </c>
      <c r="B26" s="18" t="n">
        <v>8</v>
      </c>
      <c r="C26" s="12" t="s">
        <v>98</v>
      </c>
    </row>
    <row r="28" customFormat="false" ht="15" hidden="false" customHeight="false" outlineLevel="0" collapsed="false">
      <c r="A28" s="27" t="s">
        <v>99</v>
      </c>
    </row>
    <row r="29" customFormat="false" ht="15" hidden="false" customHeight="false" outlineLevel="0" collapsed="false">
      <c r="A29" s="9" t="s">
        <v>100</v>
      </c>
      <c r="B29" s="10" t="n">
        <v>900000</v>
      </c>
      <c r="C29" s="14"/>
    </row>
    <row r="30" customFormat="false" ht="15" hidden="false" customHeight="false" outlineLevel="0" collapsed="false">
      <c r="A30" s="9" t="s">
        <v>101</v>
      </c>
      <c r="B30" s="10" t="n">
        <v>1500000</v>
      </c>
      <c r="C30" s="14"/>
    </row>
    <row r="31" customFormat="false" ht="15" hidden="false" customHeight="false" outlineLevel="0" collapsed="false">
      <c r="A31" s="9" t="s">
        <v>102</v>
      </c>
      <c r="B31" s="10" t="n">
        <v>400000</v>
      </c>
      <c r="C31" s="14"/>
    </row>
    <row r="32" customFormat="false" ht="15" hidden="false" customHeight="false" outlineLevel="0" collapsed="false">
      <c r="A32" s="9" t="s">
        <v>103</v>
      </c>
      <c r="B32" s="10" t="n">
        <v>600000</v>
      </c>
      <c r="C32" s="14"/>
    </row>
    <row r="33" customFormat="false" ht="15" hidden="false" customHeight="false" outlineLevel="0" collapsed="false">
      <c r="A33" s="9" t="s">
        <v>104</v>
      </c>
      <c r="B33" s="10" t="n">
        <v>200000</v>
      </c>
      <c r="C33" s="14"/>
    </row>
    <row r="34" customFormat="false" ht="15" hidden="false" customHeight="false" outlineLevel="0" collapsed="false">
      <c r="A34" s="9" t="s">
        <v>105</v>
      </c>
      <c r="B34" s="10" t="n">
        <v>300000</v>
      </c>
      <c r="C34" s="14"/>
    </row>
    <row r="35" customFormat="false" ht="15" hidden="false" customHeight="false" outlineLevel="0" collapsed="false">
      <c r="A35" s="9" t="s">
        <v>106</v>
      </c>
      <c r="B35" s="10" t="n">
        <v>250000</v>
      </c>
      <c r="C35" s="14"/>
    </row>
    <row r="36" customFormat="false" ht="15" hidden="false" customHeight="false" outlineLevel="0" collapsed="false">
      <c r="A36" s="9" t="s">
        <v>107</v>
      </c>
      <c r="B36" s="10" t="n">
        <v>100000</v>
      </c>
      <c r="C36" s="14"/>
    </row>
    <row r="37" customFormat="false" ht="15" hidden="false" customHeight="false" outlineLevel="0" collapsed="false">
      <c r="A37" s="9" t="s">
        <v>108</v>
      </c>
      <c r="B37" s="10" t="n">
        <v>400000</v>
      </c>
      <c r="C37" s="14"/>
    </row>
    <row r="38" customFormat="false" ht="15" hidden="false" customHeight="false" outlineLevel="0" collapsed="false">
      <c r="A38" s="9" t="s">
        <v>109</v>
      </c>
      <c r="B38" s="13" t="n">
        <f aca="false">SUM(B29:B37)</f>
        <v>4650000</v>
      </c>
      <c r="C38" s="14"/>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20"/>
    <col collapsed="false" customWidth="true" hidden="false" outlineLevel="0" max="4" min="4" style="0" width="18"/>
    <col collapsed="false" customWidth="true" hidden="false" outlineLevel="0" max="5" min="5" style="0" width="46"/>
  </cols>
  <sheetData>
    <row r="1" customFormat="false" ht="19.4" hidden="false" customHeight="false" outlineLevel="0" collapsed="false">
      <c r="A1" s="8" t="s">
        <v>110</v>
      </c>
      <c r="B1" s="8"/>
      <c r="C1" s="8"/>
      <c r="D1" s="8"/>
      <c r="E1" s="8"/>
    </row>
    <row r="2" customFormat="false" ht="31.5" hidden="false" customHeight="true" outlineLevel="0" collapsed="false">
      <c r="A2" s="7" t="s">
        <v>111</v>
      </c>
      <c r="B2" s="7"/>
      <c r="C2" s="7"/>
      <c r="D2" s="7"/>
      <c r="E2" s="7"/>
    </row>
    <row r="3" customFormat="false" ht="15" hidden="false" customHeight="false" outlineLevel="0" collapsed="false">
      <c r="A3" s="5" t="s">
        <v>112</v>
      </c>
      <c r="B3" s="5" t="s">
        <v>113</v>
      </c>
      <c r="C3" s="5" t="s">
        <v>114</v>
      </c>
      <c r="D3" s="5" t="s">
        <v>115</v>
      </c>
      <c r="E3" s="5" t="s">
        <v>17</v>
      </c>
    </row>
    <row r="4" customFormat="false" ht="41.75" hidden="false" customHeight="false" outlineLevel="0" collapsed="false">
      <c r="A4" s="9" t="s">
        <v>116</v>
      </c>
      <c r="B4" s="18" t="n">
        <v>1</v>
      </c>
      <c r="C4" s="10" t="n">
        <v>4800000</v>
      </c>
      <c r="D4" s="13" t="n">
        <f aca="false">B4*C4</f>
        <v>4800000</v>
      </c>
      <c r="E4" s="12" t="s">
        <v>117</v>
      </c>
    </row>
    <row r="5" customFormat="false" ht="28.35" hidden="false" customHeight="false" outlineLevel="0" collapsed="false">
      <c r="A5" s="9" t="s">
        <v>118</v>
      </c>
      <c r="B5" s="9" t="n">
        <f aca="false">前提条件!$B$8</f>
        <v>6</v>
      </c>
      <c r="C5" s="10" t="n">
        <v>3600000</v>
      </c>
      <c r="D5" s="13" t="n">
        <f aca="false">B5*C5</f>
        <v>21600000</v>
      </c>
      <c r="E5" s="12" t="s">
        <v>119</v>
      </c>
    </row>
    <row r="6" customFormat="false" ht="28.35" hidden="false" customHeight="false" outlineLevel="0" collapsed="false">
      <c r="A6" s="9" t="s">
        <v>120</v>
      </c>
      <c r="B6" s="18" t="n">
        <v>1</v>
      </c>
      <c r="C6" s="10" t="n">
        <v>4200000</v>
      </c>
      <c r="D6" s="13" t="n">
        <f aca="false">B6*C6</f>
        <v>4200000</v>
      </c>
      <c r="E6" s="12" t="s">
        <v>121</v>
      </c>
    </row>
    <row r="7" customFormat="false" ht="28.35" hidden="false" customHeight="false" outlineLevel="0" collapsed="false">
      <c r="A7" s="9" t="s">
        <v>122</v>
      </c>
      <c r="B7" s="18" t="n">
        <v>0.4</v>
      </c>
      <c r="C7" s="10" t="n">
        <v>4200000</v>
      </c>
      <c r="D7" s="13" t="n">
        <f aca="false">B7*C7</f>
        <v>1680000</v>
      </c>
      <c r="E7" s="12" t="s">
        <v>123</v>
      </c>
    </row>
    <row r="8" customFormat="false" ht="15" hidden="false" customHeight="false" outlineLevel="0" collapsed="false">
      <c r="A8" s="9" t="s">
        <v>124</v>
      </c>
      <c r="B8" s="18" t="n">
        <v>0.5</v>
      </c>
      <c r="C8" s="10" t="n">
        <v>3200000</v>
      </c>
      <c r="D8" s="13" t="n">
        <f aca="false">B8*C8</f>
        <v>1600000</v>
      </c>
      <c r="E8" s="12" t="s">
        <v>125</v>
      </c>
    </row>
    <row r="9" customFormat="false" ht="28.35" hidden="false" customHeight="false" outlineLevel="0" collapsed="false">
      <c r="A9" s="9" t="s">
        <v>126</v>
      </c>
      <c r="B9" s="18" t="n">
        <v>1</v>
      </c>
      <c r="C9" s="10" t="n">
        <v>600000</v>
      </c>
      <c r="D9" s="13" t="n">
        <f aca="false">B9*C9</f>
        <v>600000</v>
      </c>
      <c r="E9" s="12" t="s">
        <v>127</v>
      </c>
    </row>
    <row r="10" customFormat="false" ht="15" hidden="false" customHeight="false" outlineLevel="0" collapsed="false">
      <c r="A10" s="15" t="s">
        <v>128</v>
      </c>
      <c r="B10" s="17"/>
      <c r="C10" s="17"/>
      <c r="D10" s="16" t="n">
        <f aca="false">SUM(D4:D9)</f>
        <v>34480000</v>
      </c>
      <c r="E10" s="17"/>
    </row>
    <row r="11" customFormat="false" ht="15" hidden="false" customHeight="false" outlineLevel="0" collapsed="false">
      <c r="A11" s="9" t="s">
        <v>129</v>
      </c>
      <c r="B11" s="14"/>
      <c r="C11" s="14"/>
      <c r="D11" s="13" t="n">
        <f aca="false">D10*0.15</f>
        <v>5172000</v>
      </c>
      <c r="E11" s="14"/>
    </row>
    <row r="12" customFormat="false" ht="15" hidden="false" customHeight="false" outlineLevel="0" collapsed="false">
      <c r="A12" s="15" t="s">
        <v>130</v>
      </c>
      <c r="B12" s="17"/>
      <c r="C12" s="17"/>
      <c r="D12" s="16" t="n">
        <f aca="false">D10+D11</f>
        <v>39652000</v>
      </c>
      <c r="E12" s="17"/>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46"/>
  </cols>
  <sheetData>
    <row r="1" customFormat="false" ht="19.4" hidden="false" customHeight="false" outlineLevel="0" collapsed="false">
      <c r="A1" s="8" t="s">
        <v>131</v>
      </c>
      <c r="B1" s="8"/>
      <c r="C1" s="8"/>
    </row>
    <row r="2" customFormat="false" ht="30" hidden="false" customHeight="true" outlineLevel="0" collapsed="false">
      <c r="A2" s="7" t="s">
        <v>132</v>
      </c>
      <c r="B2" s="7"/>
      <c r="C2" s="7"/>
    </row>
    <row r="4" customFormat="false" ht="15" hidden="false" customHeight="false" outlineLevel="0" collapsed="false">
      <c r="A4" s="2" t="s">
        <v>133</v>
      </c>
    </row>
    <row r="5" customFormat="false" ht="15" hidden="false" customHeight="false" outlineLevel="0" collapsed="false">
      <c r="A5" s="28" t="s">
        <v>134</v>
      </c>
      <c r="B5" s="29" t="n">
        <f aca="false">初期投資!$B$15</f>
        <v>63238702.32768</v>
      </c>
    </row>
    <row r="7" customFormat="false" ht="15" hidden="false" customHeight="false" outlineLevel="0" collapsed="false">
      <c r="A7" s="2" t="s">
        <v>135</v>
      </c>
    </row>
    <row r="8" customFormat="false" ht="15" hidden="false" customHeight="false" outlineLevel="0" collapsed="false">
      <c r="A8" s="5" t="s">
        <v>136</v>
      </c>
      <c r="B8" s="5" t="s">
        <v>137</v>
      </c>
      <c r="C8" s="5" t="s">
        <v>17</v>
      </c>
    </row>
    <row r="9" customFormat="false" ht="15" hidden="false" customHeight="false" outlineLevel="0" collapsed="false">
      <c r="A9" s="9" t="s">
        <v>138</v>
      </c>
      <c r="B9" s="25" t="n">
        <v>5000000</v>
      </c>
      <c r="C9" s="12" t="s">
        <v>139</v>
      </c>
    </row>
    <row r="10" customFormat="false" ht="28.35" hidden="false" customHeight="false" outlineLevel="0" collapsed="false">
      <c r="A10" s="9" t="s">
        <v>140</v>
      </c>
      <c r="B10" s="25" t="n">
        <v>15000000</v>
      </c>
      <c r="C10" s="12" t="s">
        <v>141</v>
      </c>
    </row>
    <row r="11" customFormat="false" ht="15" hidden="false" customHeight="false" outlineLevel="0" collapsed="false">
      <c r="A11" s="9" t="s">
        <v>142</v>
      </c>
      <c r="B11" s="25" t="n">
        <v>15000000</v>
      </c>
      <c r="C11" s="12" t="s">
        <v>143</v>
      </c>
    </row>
    <row r="12" customFormat="false" ht="15" hidden="false" customHeight="false" outlineLevel="0" collapsed="false">
      <c r="A12" s="9" t="s">
        <v>144</v>
      </c>
      <c r="B12" s="25" t="n">
        <v>5000000</v>
      </c>
      <c r="C12" s="12" t="s">
        <v>145</v>
      </c>
    </row>
    <row r="13" customFormat="false" ht="15" hidden="false" customHeight="false" outlineLevel="0" collapsed="false">
      <c r="A13" s="15" t="s">
        <v>146</v>
      </c>
      <c r="B13" s="16" t="n">
        <f aca="false">SUM(B9:B12)</f>
        <v>40000000</v>
      </c>
      <c r="C13" s="17"/>
    </row>
    <row r="14" customFormat="false" ht="15" hidden="false" customHeight="false" outlineLevel="0" collapsed="false">
      <c r="A14" s="30" t="s">
        <v>147</v>
      </c>
      <c r="B14" s="31" t="n">
        <f aca="false">B13-B5</f>
        <v>-23238702.32768</v>
      </c>
      <c r="C14" s="14"/>
    </row>
    <row r="16" customFormat="false" ht="60" hidden="false" customHeight="true" outlineLevel="0" collapsed="false">
      <c r="A16" s="7" t="s">
        <v>148</v>
      </c>
      <c r="B16" s="7"/>
      <c r="C16" s="7"/>
    </row>
    <row r="17" customFormat="false" ht="15" hidden="false" customHeight="false" outlineLevel="0" collapsed="false">
      <c r="A17" s="2" t="s">
        <v>149</v>
      </c>
    </row>
    <row r="18" customFormat="false" ht="15" hidden="false" customHeight="false" outlineLevel="0" collapsed="false">
      <c r="A18" s="9" t="s">
        <v>150</v>
      </c>
      <c r="B18" s="13" t="n">
        <f aca="false">B5-初期投資!$B$14</f>
        <v>30650000</v>
      </c>
    </row>
    <row r="19" customFormat="false" ht="15" hidden="false" customHeight="false" outlineLevel="0" collapsed="false">
      <c r="A19" s="11" t="s">
        <v>151</v>
      </c>
      <c r="B19" s="13" t="n">
        <f aca="false">-収支計画5年!$F$37</f>
        <v>74001775</v>
      </c>
    </row>
    <row r="20" customFormat="false" ht="15" hidden="false" customHeight="false" outlineLevel="0" collapsed="false">
      <c r="A20" s="15" t="s">
        <v>152</v>
      </c>
      <c r="B20" s="16" t="n">
        <f aca="false">B18+B19</f>
        <v>104651775</v>
      </c>
    </row>
    <row r="21" customFormat="false" ht="15" hidden="false" customHeight="false" outlineLevel="0" collapsed="false">
      <c r="A21" s="30" t="s">
        <v>153</v>
      </c>
      <c r="B21" s="31" t="n">
        <f aca="false">B13-B20</f>
        <v>-64651775</v>
      </c>
    </row>
    <row r="22" customFormat="false" ht="45" hidden="false" customHeight="true" outlineLevel="0" collapsed="false">
      <c r="A22" s="32" t="s">
        <v>154</v>
      </c>
      <c r="B22" s="32"/>
      <c r="C22" s="32"/>
    </row>
  </sheetData>
  <mergeCells count="4">
    <mergeCell ref="A1:C1"/>
    <mergeCell ref="A2:C2"/>
    <mergeCell ref="A16:C16"/>
    <mergeCell ref="A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6" min="2" style="0" width="16"/>
  </cols>
  <sheetData>
    <row r="1" customFormat="false" ht="19.4" hidden="false" customHeight="false" outlineLevel="0" collapsed="false">
      <c r="A1" s="8" t="s">
        <v>155</v>
      </c>
      <c r="B1" s="8"/>
      <c r="C1" s="8"/>
      <c r="D1" s="8"/>
      <c r="E1" s="8"/>
    </row>
    <row r="2" customFormat="false" ht="42" hidden="false" customHeight="true" outlineLevel="0" collapsed="false">
      <c r="A2" s="7" t="s">
        <v>156</v>
      </c>
      <c r="B2" s="7"/>
      <c r="C2" s="7"/>
      <c r="D2" s="7"/>
      <c r="E2" s="7"/>
    </row>
    <row r="4" customFormat="false" ht="15" hidden="false" customHeight="false" outlineLevel="0" collapsed="false">
      <c r="A4" s="2" t="s">
        <v>157</v>
      </c>
    </row>
    <row r="5" customFormat="false" ht="15" hidden="false" customHeight="false" outlineLevel="0" collapsed="false">
      <c r="A5" s="9" t="s">
        <v>158</v>
      </c>
      <c r="B5" s="25" t="n">
        <v>10000000</v>
      </c>
      <c r="C5" s="12" t="s">
        <v>95</v>
      </c>
    </row>
    <row r="6" customFormat="false" ht="15" hidden="false" customHeight="false" outlineLevel="0" collapsed="false">
      <c r="A6" s="9" t="s">
        <v>159</v>
      </c>
      <c r="B6" s="18" t="n">
        <v>1</v>
      </c>
      <c r="C6" s="12" t="s">
        <v>160</v>
      </c>
    </row>
    <row r="7" customFormat="false" ht="15" hidden="false" customHeight="false" outlineLevel="0" collapsed="false">
      <c r="A7" s="9" t="s">
        <v>161</v>
      </c>
      <c r="B7" s="18" t="n">
        <v>5</v>
      </c>
      <c r="C7" s="12" t="s">
        <v>160</v>
      </c>
    </row>
    <row r="8" customFormat="false" ht="41.75" hidden="false" customHeight="false" outlineLevel="0" collapsed="false">
      <c r="A8" s="9" t="s">
        <v>162</v>
      </c>
      <c r="B8" s="23" t="n">
        <v>0.03</v>
      </c>
      <c r="C8" s="22" t="s">
        <v>163</v>
      </c>
    </row>
    <row r="10" customFormat="false" ht="15" hidden="false" customHeight="false" outlineLevel="0" collapsed="false">
      <c r="A10" s="5" t="s">
        <v>164</v>
      </c>
      <c r="B10" s="5" t="s">
        <v>165</v>
      </c>
      <c r="C10" s="5" t="s">
        <v>166</v>
      </c>
      <c r="D10" s="5" t="s">
        <v>167</v>
      </c>
      <c r="E10" s="5" t="s">
        <v>168</v>
      </c>
      <c r="F10" s="5" t="s">
        <v>169</v>
      </c>
    </row>
    <row r="11" customFormat="false" ht="15" hidden="false" customHeight="false" outlineLevel="0" collapsed="false">
      <c r="A11" s="9" t="n">
        <v>1</v>
      </c>
      <c r="B11" s="13" t="n">
        <f aca="false">$B$5</f>
        <v>10000000</v>
      </c>
      <c r="C11" s="13" t="n">
        <f aca="false">IF(A11&lt;=$B$6,0,$B$5/$B$7)</f>
        <v>0</v>
      </c>
      <c r="D11" s="13" t="n">
        <f aca="false">B11*$B$8</f>
        <v>300000</v>
      </c>
      <c r="E11" s="13" t="n">
        <f aca="false">C11+D11</f>
        <v>300000</v>
      </c>
      <c r="F11" s="13" t="n">
        <f aca="false">B11-C11</f>
        <v>10000000</v>
      </c>
    </row>
    <row r="12" customFormat="false" ht="15" hidden="false" customHeight="false" outlineLevel="0" collapsed="false">
      <c r="A12" s="9" t="n">
        <v>2</v>
      </c>
      <c r="B12" s="13" t="n">
        <f aca="false">F11</f>
        <v>10000000</v>
      </c>
      <c r="C12" s="13" t="n">
        <f aca="false">IF(A12&lt;=$B$6,0,$B$5/$B$7)</f>
        <v>2000000</v>
      </c>
      <c r="D12" s="13" t="n">
        <f aca="false">B12*$B$8</f>
        <v>300000</v>
      </c>
      <c r="E12" s="13" t="n">
        <f aca="false">C12+D12</f>
        <v>2300000</v>
      </c>
      <c r="F12" s="13" t="n">
        <f aca="false">B12-C12</f>
        <v>8000000</v>
      </c>
    </row>
    <row r="13" customFormat="false" ht="15" hidden="false" customHeight="false" outlineLevel="0" collapsed="false">
      <c r="A13" s="9" t="n">
        <v>3</v>
      </c>
      <c r="B13" s="13" t="n">
        <f aca="false">F12</f>
        <v>8000000</v>
      </c>
      <c r="C13" s="13" t="n">
        <f aca="false">IF(A13&lt;=$B$6,0,$B$5/$B$7)</f>
        <v>2000000</v>
      </c>
      <c r="D13" s="13" t="n">
        <f aca="false">B13*$B$8</f>
        <v>240000</v>
      </c>
      <c r="E13" s="13" t="n">
        <f aca="false">C13+D13</f>
        <v>2240000</v>
      </c>
      <c r="F13" s="13" t="n">
        <f aca="false">B13-C13</f>
        <v>6000000</v>
      </c>
    </row>
    <row r="14" customFormat="false" ht="15" hidden="false" customHeight="false" outlineLevel="0" collapsed="false">
      <c r="A14" s="9" t="n">
        <v>4</v>
      </c>
      <c r="B14" s="13" t="n">
        <f aca="false">F13</f>
        <v>6000000</v>
      </c>
      <c r="C14" s="13" t="n">
        <f aca="false">IF(A14&lt;=$B$6,0,$B$5/$B$7)</f>
        <v>2000000</v>
      </c>
      <c r="D14" s="13" t="n">
        <f aca="false">B14*$B$8</f>
        <v>180000</v>
      </c>
      <c r="E14" s="13" t="n">
        <f aca="false">C14+D14</f>
        <v>2180000</v>
      </c>
      <c r="F14" s="13" t="n">
        <f aca="false">B14-C14</f>
        <v>4000000</v>
      </c>
    </row>
    <row r="15" customFormat="false" ht="15" hidden="false" customHeight="false" outlineLevel="0" collapsed="false">
      <c r="A15" s="9" t="n">
        <v>5</v>
      </c>
      <c r="B15" s="13" t="n">
        <f aca="false">F14</f>
        <v>4000000</v>
      </c>
      <c r="C15" s="13" t="n">
        <f aca="false">IF(A15&lt;=$B$6,0,$B$5/$B$7)</f>
        <v>2000000</v>
      </c>
      <c r="D15" s="13" t="n">
        <f aca="false">B15*$B$8</f>
        <v>120000</v>
      </c>
      <c r="E15" s="13" t="n">
        <f aca="false">C15+D15</f>
        <v>2120000</v>
      </c>
      <c r="F15" s="13" t="n">
        <f aca="false">B15-C15</f>
        <v>2000000</v>
      </c>
    </row>
    <row r="16" customFormat="false" ht="15" hidden="false" customHeight="false" outlineLevel="0" collapsed="false">
      <c r="A16" s="9" t="n">
        <v>6</v>
      </c>
      <c r="B16" s="13" t="n">
        <f aca="false">F15</f>
        <v>2000000</v>
      </c>
      <c r="C16" s="13" t="n">
        <f aca="false">IF(A16&lt;=$B$6,0,$B$5/$B$7)</f>
        <v>2000000</v>
      </c>
      <c r="D16" s="13" t="n">
        <f aca="false">B16*$B$8</f>
        <v>60000</v>
      </c>
      <c r="E16" s="13" t="n">
        <f aca="false">C16+D16</f>
        <v>2060000</v>
      </c>
      <c r="F16" s="13" t="n">
        <f aca="false">B16-C16</f>
        <v>0</v>
      </c>
    </row>
    <row r="17" customFormat="false" ht="15" hidden="false" customHeight="false" outlineLevel="0" collapsed="false">
      <c r="A17" s="15" t="s">
        <v>170</v>
      </c>
      <c r="B17" s="17"/>
      <c r="C17" s="17"/>
      <c r="D17" s="16" t="n">
        <f aca="false">SUM(D11:D16)</f>
        <v>1200000</v>
      </c>
      <c r="E17" s="16" t="n">
        <f aca="false">SUM(E11:E16)</f>
        <v>11200000</v>
      </c>
      <c r="F17" s="17"/>
    </row>
    <row r="19" customFormat="false" ht="15" hidden="false" customHeight="false" outlineLevel="0" collapsed="false">
      <c r="A19" s="2" t="s">
        <v>171</v>
      </c>
    </row>
    <row r="20" customFormat="false" ht="15" hidden="false" customHeight="false" outlineLevel="0" collapsed="false">
      <c r="A20" s="9" t="s">
        <v>158</v>
      </c>
      <c r="B20" s="25" t="n">
        <v>15000000</v>
      </c>
      <c r="C20" s="12" t="s">
        <v>95</v>
      </c>
    </row>
    <row r="21" customFormat="false" ht="15" hidden="false" customHeight="false" outlineLevel="0" collapsed="false">
      <c r="A21" s="9" t="s">
        <v>159</v>
      </c>
      <c r="B21" s="18" t="n">
        <v>1</v>
      </c>
      <c r="C21" s="12" t="s">
        <v>160</v>
      </c>
    </row>
    <row r="22" customFormat="false" ht="15" hidden="false" customHeight="false" outlineLevel="0" collapsed="false">
      <c r="A22" s="9" t="s">
        <v>161</v>
      </c>
      <c r="B22" s="18" t="n">
        <v>6</v>
      </c>
      <c r="C22" s="12" t="s">
        <v>160</v>
      </c>
    </row>
    <row r="23" customFormat="false" ht="41.75" hidden="false" customHeight="false" outlineLevel="0" collapsed="false">
      <c r="A23" s="9" t="s">
        <v>162</v>
      </c>
      <c r="B23" s="23" t="n">
        <v>0.035</v>
      </c>
      <c r="C23" s="22" t="s">
        <v>163</v>
      </c>
    </row>
    <row r="25" customFormat="false" ht="15" hidden="false" customHeight="false" outlineLevel="0" collapsed="false">
      <c r="A25" s="5" t="s">
        <v>164</v>
      </c>
      <c r="B25" s="5" t="s">
        <v>165</v>
      </c>
      <c r="C25" s="5" t="s">
        <v>166</v>
      </c>
      <c r="D25" s="5" t="s">
        <v>167</v>
      </c>
      <c r="E25" s="5" t="s">
        <v>168</v>
      </c>
      <c r="F25" s="5" t="s">
        <v>169</v>
      </c>
    </row>
    <row r="26" customFormat="false" ht="15" hidden="false" customHeight="false" outlineLevel="0" collapsed="false">
      <c r="A26" s="9" t="n">
        <v>1</v>
      </c>
      <c r="B26" s="13" t="n">
        <f aca="false">$B$20</f>
        <v>15000000</v>
      </c>
      <c r="C26" s="13" t="n">
        <f aca="false">IF(A26&lt;=$B$21,0,$B$20/$B$22)</f>
        <v>0</v>
      </c>
      <c r="D26" s="13" t="n">
        <f aca="false">B26*$B$23</f>
        <v>525000</v>
      </c>
      <c r="E26" s="13" t="n">
        <f aca="false">C26+D26</f>
        <v>525000</v>
      </c>
      <c r="F26" s="13" t="n">
        <f aca="false">B26-C26</f>
        <v>15000000</v>
      </c>
    </row>
    <row r="27" customFormat="false" ht="15" hidden="false" customHeight="false" outlineLevel="0" collapsed="false">
      <c r="A27" s="9" t="n">
        <v>2</v>
      </c>
      <c r="B27" s="13" t="n">
        <f aca="false">F26</f>
        <v>15000000</v>
      </c>
      <c r="C27" s="13" t="n">
        <f aca="false">IF(A27&lt;=$B$21,0,$B$20/$B$22)</f>
        <v>2500000</v>
      </c>
      <c r="D27" s="13" t="n">
        <f aca="false">B27*$B$23</f>
        <v>525000</v>
      </c>
      <c r="E27" s="13" t="n">
        <f aca="false">C27+D27</f>
        <v>3025000</v>
      </c>
      <c r="F27" s="13" t="n">
        <f aca="false">B27-C27</f>
        <v>12500000</v>
      </c>
    </row>
    <row r="28" customFormat="false" ht="15" hidden="false" customHeight="false" outlineLevel="0" collapsed="false">
      <c r="A28" s="9" t="n">
        <v>3</v>
      </c>
      <c r="B28" s="13" t="n">
        <f aca="false">F27</f>
        <v>12500000</v>
      </c>
      <c r="C28" s="13" t="n">
        <f aca="false">IF(A28&lt;=$B$21,0,$B$20/$B$22)</f>
        <v>2500000</v>
      </c>
      <c r="D28" s="13" t="n">
        <f aca="false">B28*$B$23</f>
        <v>437500</v>
      </c>
      <c r="E28" s="13" t="n">
        <f aca="false">C28+D28</f>
        <v>2937500</v>
      </c>
      <c r="F28" s="13" t="n">
        <f aca="false">B28-C28</f>
        <v>10000000</v>
      </c>
    </row>
    <row r="29" customFormat="false" ht="15" hidden="false" customHeight="false" outlineLevel="0" collapsed="false">
      <c r="A29" s="9" t="n">
        <v>4</v>
      </c>
      <c r="B29" s="13" t="n">
        <f aca="false">F28</f>
        <v>10000000</v>
      </c>
      <c r="C29" s="13" t="n">
        <f aca="false">IF(A29&lt;=$B$21,0,$B$20/$B$22)</f>
        <v>2500000</v>
      </c>
      <c r="D29" s="13" t="n">
        <f aca="false">B29*$B$23</f>
        <v>350000</v>
      </c>
      <c r="E29" s="13" t="n">
        <f aca="false">C29+D29</f>
        <v>2850000</v>
      </c>
      <c r="F29" s="13" t="n">
        <f aca="false">B29-C29</f>
        <v>7500000</v>
      </c>
    </row>
    <row r="30" customFormat="false" ht="15" hidden="false" customHeight="false" outlineLevel="0" collapsed="false">
      <c r="A30" s="9" t="n">
        <v>5</v>
      </c>
      <c r="B30" s="13" t="n">
        <f aca="false">F29</f>
        <v>7500000</v>
      </c>
      <c r="C30" s="13" t="n">
        <f aca="false">IF(A30&lt;=$B$21,0,$B$20/$B$22)</f>
        <v>2500000</v>
      </c>
      <c r="D30" s="13" t="n">
        <f aca="false">B30*$B$23</f>
        <v>262500</v>
      </c>
      <c r="E30" s="13" t="n">
        <f aca="false">C30+D30</f>
        <v>2762500</v>
      </c>
      <c r="F30" s="13" t="n">
        <f aca="false">B30-C30</f>
        <v>5000000</v>
      </c>
    </row>
    <row r="31" customFormat="false" ht="15" hidden="false" customHeight="false" outlineLevel="0" collapsed="false">
      <c r="A31" s="9" t="n">
        <v>6</v>
      </c>
      <c r="B31" s="13" t="n">
        <f aca="false">F30</f>
        <v>5000000</v>
      </c>
      <c r="C31" s="13" t="n">
        <f aca="false">IF(A31&lt;=$B$21,0,$B$20/$B$22)</f>
        <v>2500000</v>
      </c>
      <c r="D31" s="13" t="n">
        <f aca="false">B31*$B$23</f>
        <v>175000</v>
      </c>
      <c r="E31" s="13" t="n">
        <f aca="false">C31+D31</f>
        <v>2675000</v>
      </c>
      <c r="F31" s="13" t="n">
        <f aca="false">B31-C31</f>
        <v>2500000</v>
      </c>
    </row>
    <row r="32" customFormat="false" ht="15" hidden="false" customHeight="false" outlineLevel="0" collapsed="false">
      <c r="A32" s="9" t="n">
        <v>7</v>
      </c>
      <c r="B32" s="13" t="n">
        <f aca="false">F31</f>
        <v>2500000</v>
      </c>
      <c r="C32" s="13" t="n">
        <f aca="false">IF(A32&lt;=$B$21,0,$B$20/$B$22)</f>
        <v>2500000</v>
      </c>
      <c r="D32" s="13" t="n">
        <f aca="false">B32*$B$23</f>
        <v>87500</v>
      </c>
      <c r="E32" s="13" t="n">
        <f aca="false">C32+D32</f>
        <v>2587500</v>
      </c>
      <c r="F32" s="13" t="n">
        <f aca="false">B32-C32</f>
        <v>0</v>
      </c>
    </row>
    <row r="33" customFormat="false" ht="15" hidden="false" customHeight="false" outlineLevel="0" collapsed="false">
      <c r="A33" s="15" t="s">
        <v>170</v>
      </c>
      <c r="B33" s="17"/>
      <c r="C33" s="17"/>
      <c r="D33" s="16" t="n">
        <f aca="false">SUM(D26:D32)</f>
        <v>2362500</v>
      </c>
      <c r="E33" s="16" t="n">
        <f aca="false">SUM(E26:E32)</f>
        <v>17362500</v>
      </c>
      <c r="F33" s="17"/>
    </row>
    <row r="35" customFormat="false" ht="69.75" hidden="false" customHeight="true" outlineLevel="0" collapsed="false">
      <c r="A35" s="7" t="s">
        <v>172</v>
      </c>
      <c r="B35" s="7"/>
      <c r="C35" s="7"/>
      <c r="D35" s="7"/>
      <c r="E35" s="7"/>
      <c r="F35" s="7"/>
    </row>
  </sheetData>
  <mergeCells count="3">
    <mergeCell ref="A1:E1"/>
    <mergeCell ref="A2:E2"/>
    <mergeCell ref="A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13" min="2" style="0" width="10"/>
  </cols>
  <sheetData>
    <row r="1" customFormat="false" ht="19.4" hidden="false" customHeight="false" outlineLevel="0" collapsed="false">
      <c r="A1" s="8" t="s">
        <v>173</v>
      </c>
      <c r="B1" s="8"/>
      <c r="C1" s="8"/>
      <c r="D1" s="8"/>
      <c r="E1" s="8"/>
      <c r="F1" s="8"/>
      <c r="G1" s="8"/>
      <c r="H1" s="8"/>
      <c r="I1" s="8"/>
      <c r="J1" s="8"/>
      <c r="K1" s="8"/>
      <c r="L1" s="8"/>
      <c r="M1" s="8"/>
      <c r="N1" s="8"/>
    </row>
    <row r="2" customFormat="false" ht="31.5" hidden="false" customHeight="true" outlineLevel="0" collapsed="false">
      <c r="A2" s="7" t="s">
        <v>174</v>
      </c>
      <c r="B2" s="7"/>
      <c r="C2" s="7"/>
      <c r="D2" s="7"/>
      <c r="E2" s="7"/>
      <c r="F2" s="7"/>
      <c r="G2" s="7"/>
      <c r="H2" s="7"/>
      <c r="I2" s="7"/>
      <c r="J2" s="7"/>
      <c r="K2" s="7"/>
      <c r="L2" s="7"/>
      <c r="M2" s="7"/>
      <c r="N2" s="7"/>
    </row>
    <row r="4" customFormat="false" ht="15" hidden="false" customHeight="false" outlineLevel="0" collapsed="false">
      <c r="A4" s="5" t="s">
        <v>14</v>
      </c>
      <c r="B4" s="5" t="s">
        <v>175</v>
      </c>
      <c r="C4" s="5" t="s">
        <v>176</v>
      </c>
      <c r="D4" s="5" t="s">
        <v>177</v>
      </c>
      <c r="E4" s="5" t="s">
        <v>178</v>
      </c>
      <c r="F4" s="5" t="s">
        <v>179</v>
      </c>
      <c r="G4" s="5" t="s">
        <v>180</v>
      </c>
      <c r="H4" s="5" t="s">
        <v>181</v>
      </c>
      <c r="I4" s="5" t="s">
        <v>182</v>
      </c>
      <c r="J4" s="5" t="s">
        <v>183</v>
      </c>
      <c r="K4" s="5" t="s">
        <v>184</v>
      </c>
      <c r="L4" s="5" t="s">
        <v>185</v>
      </c>
      <c r="M4" s="5" t="s">
        <v>186</v>
      </c>
    </row>
    <row r="5" customFormat="false" ht="15" hidden="false" customHeight="false" outlineLevel="0" collapsed="false">
      <c r="A5" s="9" t="s">
        <v>187</v>
      </c>
      <c r="B5" s="19" t="n">
        <v>3</v>
      </c>
      <c r="C5" s="19" t="n">
        <v>5</v>
      </c>
      <c r="D5" s="19" t="n">
        <v>7</v>
      </c>
      <c r="E5" s="19" t="n">
        <v>9</v>
      </c>
      <c r="F5" s="19" t="n">
        <v>10</v>
      </c>
      <c r="G5" s="19" t="n">
        <v>11</v>
      </c>
      <c r="H5" s="19" t="n">
        <v>12</v>
      </c>
      <c r="I5" s="19" t="n">
        <v>13</v>
      </c>
      <c r="J5" s="19" t="n">
        <v>13</v>
      </c>
      <c r="K5" s="19" t="n">
        <v>14</v>
      </c>
      <c r="L5" s="19" t="n">
        <v>14</v>
      </c>
      <c r="M5" s="19" t="n">
        <v>15</v>
      </c>
    </row>
    <row r="6" customFormat="false" ht="15" hidden="false" customHeight="false" outlineLevel="0" collapsed="false">
      <c r="A6" s="9" t="s">
        <v>188</v>
      </c>
      <c r="B6" s="21" t="n">
        <v>0.8</v>
      </c>
      <c r="C6" s="21" t="n">
        <v>0.8</v>
      </c>
      <c r="D6" s="21" t="n">
        <v>0.8</v>
      </c>
      <c r="E6" s="21" t="n">
        <v>0.8</v>
      </c>
      <c r="F6" s="21" t="n">
        <v>0.8</v>
      </c>
      <c r="G6" s="21" t="n">
        <v>0.8</v>
      </c>
      <c r="H6" s="21" t="n">
        <v>0.8</v>
      </c>
      <c r="I6" s="21" t="n">
        <v>0.8</v>
      </c>
      <c r="J6" s="21" t="n">
        <v>0.8</v>
      </c>
      <c r="K6" s="21" t="n">
        <v>0.8</v>
      </c>
      <c r="L6" s="21" t="n">
        <v>0.8</v>
      </c>
      <c r="M6" s="21" t="n">
        <v>0.8</v>
      </c>
    </row>
    <row r="7" customFormat="false" ht="15" hidden="false" customHeight="false" outlineLevel="0" collapsed="false">
      <c r="A7" s="9" t="s">
        <v>189</v>
      </c>
      <c r="B7" s="18" t="n">
        <v>21</v>
      </c>
      <c r="C7" s="18" t="n">
        <v>21</v>
      </c>
      <c r="D7" s="18" t="n">
        <v>21</v>
      </c>
      <c r="E7" s="18" t="n">
        <v>21</v>
      </c>
      <c r="F7" s="18" t="n">
        <v>21</v>
      </c>
      <c r="G7" s="18" t="n">
        <v>21</v>
      </c>
      <c r="H7" s="18" t="n">
        <v>21</v>
      </c>
      <c r="I7" s="18" t="n">
        <v>21</v>
      </c>
      <c r="J7" s="18" t="n">
        <v>15</v>
      </c>
      <c r="K7" s="18" t="n">
        <v>17</v>
      </c>
      <c r="L7" s="18" t="n">
        <v>21</v>
      </c>
      <c r="M7" s="18" t="n">
        <v>21</v>
      </c>
    </row>
    <row r="8" customFormat="false" ht="15" hidden="false" customHeight="false" outlineLevel="0" collapsed="false">
      <c r="A8" s="9" t="s">
        <v>190</v>
      </c>
      <c r="B8" s="33" t="n">
        <f aca="false">B5*B6</f>
        <v>2.4</v>
      </c>
      <c r="C8" s="33" t="n">
        <f aca="false">C5*C6</f>
        <v>4</v>
      </c>
      <c r="D8" s="33" t="n">
        <f aca="false">D5*D6</f>
        <v>5.6</v>
      </c>
      <c r="E8" s="33" t="n">
        <f aca="false">E5*E6</f>
        <v>7.2</v>
      </c>
      <c r="F8" s="33" t="n">
        <f aca="false">F5*F6</f>
        <v>8</v>
      </c>
      <c r="G8" s="33" t="n">
        <f aca="false">G5*G6</f>
        <v>8.8</v>
      </c>
      <c r="H8" s="33" t="n">
        <f aca="false">H5*H6</f>
        <v>9.6</v>
      </c>
      <c r="I8" s="33" t="n">
        <f aca="false">I5*I6</f>
        <v>10.4</v>
      </c>
      <c r="J8" s="33" t="n">
        <f aca="false">J5*J6</f>
        <v>10.4</v>
      </c>
      <c r="K8" s="33" t="n">
        <f aca="false">K5*K6</f>
        <v>11.2</v>
      </c>
      <c r="L8" s="33" t="n">
        <f aca="false">L5*L6</f>
        <v>11.2</v>
      </c>
      <c r="M8" s="33" t="n">
        <f aca="false">M5*M6</f>
        <v>12</v>
      </c>
    </row>
    <row r="9" customFormat="false" ht="15" hidden="false" customHeight="false" outlineLevel="0" collapsed="false">
      <c r="A9" s="9" t="s">
        <v>191</v>
      </c>
      <c r="B9" s="34" t="n">
        <f aca="false">B8/前提条件!$B$3</f>
        <v>0.12</v>
      </c>
      <c r="C9" s="34" t="n">
        <f aca="false">C8/前提条件!$B$3</f>
        <v>0.2</v>
      </c>
      <c r="D9" s="34" t="n">
        <f aca="false">D8/前提条件!$B$3</f>
        <v>0.28</v>
      </c>
      <c r="E9" s="34" t="n">
        <f aca="false">E8/前提条件!$B$3</f>
        <v>0.36</v>
      </c>
      <c r="F9" s="34" t="n">
        <f aca="false">F8/前提条件!$B$3</f>
        <v>0.4</v>
      </c>
      <c r="G9" s="34" t="n">
        <f aca="false">G8/前提条件!$B$3</f>
        <v>0.44</v>
      </c>
      <c r="H9" s="34" t="n">
        <f aca="false">H8/前提条件!$B$3</f>
        <v>0.48</v>
      </c>
      <c r="I9" s="34" t="n">
        <f aca="false">I8/前提条件!$B$3</f>
        <v>0.52</v>
      </c>
      <c r="J9" s="34" t="n">
        <f aca="false">J8/前提条件!$B$3</f>
        <v>0.52</v>
      </c>
      <c r="K9" s="34" t="n">
        <f aca="false">K8/前提条件!$B$3</f>
        <v>0.56</v>
      </c>
      <c r="L9" s="34" t="n">
        <f aca="false">L8/前提条件!$B$3</f>
        <v>0.56</v>
      </c>
      <c r="M9" s="34" t="n">
        <f aca="false">M8/前提条件!$B$3</f>
        <v>0.6</v>
      </c>
    </row>
    <row r="10" customFormat="false" ht="15" hidden="false" customHeight="false" outlineLevel="0" collapsed="false">
      <c r="A10" s="11" t="s">
        <v>192</v>
      </c>
      <c r="B10" s="13" t="n">
        <f aca="false">前提条件!$B$5*前提条件!$B$9+前提条件!$B$13*(前提条件!$B$10+前提条件!$B$12*前提条件!$B$11)*前提条件!$B$9+前提条件!$B$5*前提条件!$B$9*前提条件!$B$14</f>
        <v>11438.0568</v>
      </c>
      <c r="C10" s="13" t="n">
        <f aca="false">前提条件!$B$5*前提条件!$B$9+前提条件!$B$13*(前提条件!$B$10+前提条件!$B$12*前提条件!$B$11)*前提条件!$B$9+前提条件!$B$5*前提条件!$B$9*前提条件!$B$14</f>
        <v>11438.0568</v>
      </c>
      <c r="D10" s="13" t="n">
        <f aca="false">前提条件!$B$5*前提条件!$B$9+前提条件!$B$13*(前提条件!$B$10+前提条件!$B$12*前提条件!$B$11)*前提条件!$B$9+前提条件!$B$5*前提条件!$B$9*前提条件!$B$14</f>
        <v>11438.0568</v>
      </c>
      <c r="E10" s="13" t="n">
        <f aca="false">前提条件!$B$5*前提条件!$B$9+前提条件!$B$13*(前提条件!$B$10+前提条件!$B$12*前提条件!$B$11)*前提条件!$B$9+前提条件!$B$5*前提条件!$B$9*前提条件!$B$14</f>
        <v>11438.0568</v>
      </c>
      <c r="F10" s="13" t="n">
        <f aca="false">前提条件!$B$5*前提条件!$B$9+前提条件!$B$13*(前提条件!$B$10+前提条件!$B$12*前提条件!$B$11)*前提条件!$B$9+前提条件!$B$5*前提条件!$B$9*前提条件!$B$14</f>
        <v>11438.0568</v>
      </c>
      <c r="G10" s="13" t="n">
        <f aca="false">前提条件!$B$5*前提条件!$B$9+前提条件!$B$13*(前提条件!$B$10+前提条件!$B$12*前提条件!$B$11)*前提条件!$B$9+前提条件!$B$5*前提条件!$B$9*前提条件!$B$14</f>
        <v>11438.0568</v>
      </c>
      <c r="H10" s="13" t="n">
        <f aca="false">前提条件!$B$5*前提条件!$B$9+前提条件!$B$13*(前提条件!$B$10+前提条件!$B$12*前提条件!$B$11)*前提条件!$B$9+前提条件!$B$5*前提条件!$B$9*前提条件!$B$14</f>
        <v>11438.0568</v>
      </c>
      <c r="I10" s="13" t="n">
        <f aca="false">前提条件!$B$5*前提条件!$B$9+前提条件!$B$13*(前提条件!$B$10+前提条件!$B$12*前提条件!$B$11)*前提条件!$B$9+前提条件!$B$5*前提条件!$B$9*前提条件!$B$14</f>
        <v>11438.0568</v>
      </c>
      <c r="J10" s="13" t="n">
        <f aca="false">前提条件!$B$5*前提条件!$B$9+前提条件!$B$13*(前提条件!$B$10+前提条件!$B$12*前提条件!$B$11)*前提条件!$B$9+前提条件!$B$5*前提条件!$B$9*前提条件!$B$14</f>
        <v>11438.0568</v>
      </c>
      <c r="K10" s="13" t="n">
        <f aca="false">前提条件!$B$5*前提条件!$B$9+前提条件!$B$13*(前提条件!$B$10+前提条件!$B$12*前提条件!$B$11)*前提条件!$B$9+前提条件!$B$5*前提条件!$B$9*前提条件!$B$14</f>
        <v>11438.0568</v>
      </c>
      <c r="L10" s="13" t="n">
        <f aca="false">前提条件!$B$5*前提条件!$B$9+前提条件!$B$13*(前提条件!$B$10+前提条件!$B$12*前提条件!$B$11)*前提条件!$B$9+前提条件!$B$5*前提条件!$B$9*前提条件!$B$14</f>
        <v>11438.0568</v>
      </c>
      <c r="M10" s="13" t="n">
        <f aca="false">前提条件!$B$5*前提条件!$B$9+前提条件!$B$13*(前提条件!$B$10+前提条件!$B$12*前提条件!$B$11)*前提条件!$B$9+前提条件!$B$5*前提条件!$B$9*前提条件!$B$14</f>
        <v>11438.0568</v>
      </c>
    </row>
    <row r="11" customFormat="false" ht="15" hidden="false" customHeight="false" outlineLevel="0" collapsed="false">
      <c r="A11" s="9" t="s">
        <v>193</v>
      </c>
      <c r="B11" s="13" t="n">
        <f aca="false">B8*B10*B7</f>
        <v>576478.06272</v>
      </c>
      <c r="C11" s="13" t="n">
        <f aca="false">C8*C10*C7</f>
        <v>960796.7712</v>
      </c>
      <c r="D11" s="13" t="n">
        <f aca="false">D8*D10*D7</f>
        <v>1345115.47968</v>
      </c>
      <c r="E11" s="13" t="n">
        <f aca="false">E8*E10*E7</f>
        <v>1729434.18816</v>
      </c>
      <c r="F11" s="13" t="n">
        <f aca="false">F8*F10*F7</f>
        <v>1921593.5424</v>
      </c>
      <c r="G11" s="13" t="n">
        <f aca="false">G8*G10*G7</f>
        <v>2113752.89664</v>
      </c>
      <c r="H11" s="13" t="n">
        <f aca="false">H8*H10*H7</f>
        <v>2305912.25088</v>
      </c>
      <c r="I11" s="13" t="n">
        <f aca="false">I8*I10*I7</f>
        <v>2498071.60512</v>
      </c>
      <c r="J11" s="13" t="n">
        <f aca="false">J8*J10*J7</f>
        <v>1784336.8608</v>
      </c>
      <c r="K11" s="13" t="n">
        <f aca="false">K8*K10*K7</f>
        <v>2177806.01472</v>
      </c>
      <c r="L11" s="13" t="n">
        <f aca="false">L8*L10*L7</f>
        <v>2690230.95936</v>
      </c>
      <c r="M11" s="13" t="n">
        <f aca="false">M8*M10*M7</f>
        <v>2882390.3136</v>
      </c>
    </row>
    <row r="12" customFormat="false" ht="15" hidden="false" customHeight="false" outlineLevel="0" collapsed="false">
      <c r="A12" s="9" t="s">
        <v>194</v>
      </c>
      <c r="B12" s="13" t="n">
        <v>0</v>
      </c>
      <c r="C12" s="13" t="n">
        <v>0</v>
      </c>
      <c r="D12" s="13" t="n">
        <f aca="false">B11</f>
        <v>576478.06272</v>
      </c>
      <c r="E12" s="13" t="n">
        <f aca="false">C11</f>
        <v>960796.7712</v>
      </c>
      <c r="F12" s="13" t="n">
        <f aca="false">D11</f>
        <v>1345115.47968</v>
      </c>
      <c r="G12" s="13" t="n">
        <f aca="false">E11</f>
        <v>1729434.18816</v>
      </c>
      <c r="H12" s="13" t="n">
        <f aca="false">F11</f>
        <v>1921593.5424</v>
      </c>
      <c r="I12" s="13" t="n">
        <f aca="false">G11</f>
        <v>2113752.89664</v>
      </c>
      <c r="J12" s="13" t="n">
        <f aca="false">H11</f>
        <v>2305912.25088</v>
      </c>
      <c r="K12" s="13" t="n">
        <f aca="false">I11</f>
        <v>2498071.60512</v>
      </c>
      <c r="L12" s="13" t="n">
        <f aca="false">J11</f>
        <v>1784336.8608</v>
      </c>
      <c r="M12" s="13" t="n">
        <f aca="false">K11</f>
        <v>2177806.01472</v>
      </c>
    </row>
    <row r="13" customFormat="false" ht="15" hidden="false" customHeight="false" outlineLevel="0" collapsed="false">
      <c r="A13" s="9" t="s">
        <v>195</v>
      </c>
      <c r="B13" s="13" t="n">
        <f aca="false">人件費!$D$12/12+前提条件!$B$22+前提条件!$B$24/12+前提条件!$B$23/12</f>
        <v>4166833.33333333</v>
      </c>
      <c r="C13" s="13" t="n">
        <f aca="false">人件費!$D$12/12+前提条件!$B$22+前提条件!$B$24/12+前提条件!$B$23/12</f>
        <v>4166833.33333333</v>
      </c>
      <c r="D13" s="13" t="n">
        <f aca="false">人件費!$D$12/12+前提条件!$B$22+前提条件!$B$24/12+前提条件!$B$23/12</f>
        <v>4166833.33333333</v>
      </c>
      <c r="E13" s="13" t="n">
        <f aca="false">人件費!$D$12/12+前提条件!$B$22+前提条件!$B$24/12+前提条件!$B$23/12</f>
        <v>4166833.33333333</v>
      </c>
      <c r="F13" s="13" t="n">
        <f aca="false">人件費!$D$12/12+前提条件!$B$22+前提条件!$B$24/12+前提条件!$B$23/12</f>
        <v>4166833.33333333</v>
      </c>
      <c r="G13" s="13" t="n">
        <f aca="false">人件費!$D$12/12+前提条件!$B$22+前提条件!$B$24/12+前提条件!$B$23/12</f>
        <v>4166833.33333333</v>
      </c>
      <c r="H13" s="13" t="n">
        <f aca="false">人件費!$D$12/12+前提条件!$B$22+前提条件!$B$24/12+前提条件!$B$23/12</f>
        <v>4166833.33333333</v>
      </c>
      <c r="I13" s="13" t="n">
        <f aca="false">人件費!$D$12/12+前提条件!$B$22+前提条件!$B$24/12+前提条件!$B$23/12</f>
        <v>4166833.33333333</v>
      </c>
      <c r="J13" s="13" t="n">
        <f aca="false">人件費!$D$12/12+前提条件!$B$22+前提条件!$B$24/12+前提条件!$B$23/12</f>
        <v>4166833.33333333</v>
      </c>
      <c r="K13" s="13" t="n">
        <f aca="false">人件費!$D$12/12+前提条件!$B$22+前提条件!$B$24/12+前提条件!$B$23/12</f>
        <v>4166833.33333333</v>
      </c>
      <c r="L13" s="13" t="n">
        <f aca="false">人件費!$D$12/12+前提条件!$B$22+前提条件!$B$24/12+前提条件!$B$23/12</f>
        <v>4166833.33333333</v>
      </c>
      <c r="M13" s="13" t="n">
        <f aca="false">人件費!$D$12/12+前提条件!$B$22+前提条件!$B$24/12+前提条件!$B$23/12</f>
        <v>4166833.33333333</v>
      </c>
    </row>
    <row r="14" customFormat="false" ht="15" hidden="false" customHeight="false" outlineLevel="0" collapsed="false">
      <c r="A14" s="30" t="s">
        <v>196</v>
      </c>
      <c r="B14" s="16" t="n">
        <f aca="false">B12-B13</f>
        <v>-4166833.33333333</v>
      </c>
      <c r="C14" s="16" t="n">
        <f aca="false">C12-C13</f>
        <v>-4166833.33333333</v>
      </c>
      <c r="D14" s="16" t="n">
        <f aca="false">D12-D13</f>
        <v>-3590355.27061333</v>
      </c>
      <c r="E14" s="16" t="n">
        <f aca="false">E12-E13</f>
        <v>-3206036.56213333</v>
      </c>
      <c r="F14" s="16" t="n">
        <f aca="false">F12-F13</f>
        <v>-2821717.85365333</v>
      </c>
      <c r="G14" s="16" t="n">
        <f aca="false">G12-G13</f>
        <v>-2437399.14517333</v>
      </c>
      <c r="H14" s="16" t="n">
        <f aca="false">H12-H13</f>
        <v>-2245239.79093333</v>
      </c>
      <c r="I14" s="16" t="n">
        <f aca="false">I12-I13</f>
        <v>-2053080.43669333</v>
      </c>
      <c r="J14" s="16" t="n">
        <f aca="false">J12-J13</f>
        <v>-1860921.08245333</v>
      </c>
      <c r="K14" s="16" t="n">
        <f aca="false">K12-K13</f>
        <v>-1668761.72821333</v>
      </c>
      <c r="L14" s="16" t="n">
        <f aca="false">L12-L13</f>
        <v>-2382496.47253333</v>
      </c>
      <c r="M14" s="16" t="n">
        <f aca="false">M12-M13</f>
        <v>-1989027.31861333</v>
      </c>
    </row>
    <row r="15" customFormat="false" ht="15" hidden="false" customHeight="false" outlineLevel="0" collapsed="false">
      <c r="A15" s="30" t="s">
        <v>197</v>
      </c>
      <c r="B15" s="31" t="n">
        <f aca="false">B14</f>
        <v>-4166833.33333333</v>
      </c>
      <c r="C15" s="31" t="n">
        <f aca="false">B15+C14</f>
        <v>-8333666.66666667</v>
      </c>
      <c r="D15" s="31" t="n">
        <f aca="false">C15+D14</f>
        <v>-11924021.93728</v>
      </c>
      <c r="E15" s="31" t="n">
        <f aca="false">D15+E14</f>
        <v>-15130058.4994133</v>
      </c>
      <c r="F15" s="31" t="n">
        <f aca="false">E15+F14</f>
        <v>-17951776.3530667</v>
      </c>
      <c r="G15" s="31" t="n">
        <f aca="false">F15+G14</f>
        <v>-20389175.49824</v>
      </c>
      <c r="H15" s="31" t="n">
        <f aca="false">G15+H14</f>
        <v>-22634415.2891733</v>
      </c>
      <c r="I15" s="31" t="n">
        <f aca="false">H15+I14</f>
        <v>-24687495.7258667</v>
      </c>
      <c r="J15" s="31" t="n">
        <f aca="false">I15+J14</f>
        <v>-26548416.80832</v>
      </c>
      <c r="K15" s="31" t="n">
        <f aca="false">J15+K14</f>
        <v>-28217178.5365333</v>
      </c>
      <c r="L15" s="31" t="n">
        <f aca="false">K15+L14</f>
        <v>-30599675.0090667</v>
      </c>
      <c r="M15" s="31" t="n">
        <f aca="false">L15+M14</f>
        <v>-32588702.32768</v>
      </c>
    </row>
    <row r="16" customFormat="false" ht="15" hidden="false" customHeight="false" outlineLevel="0" collapsed="false">
      <c r="A16" s="14"/>
      <c r="B16" s="14"/>
      <c r="C16" s="14"/>
      <c r="D16" s="14"/>
      <c r="E16" s="14"/>
      <c r="F16" s="14"/>
      <c r="G16" s="14"/>
      <c r="H16" s="14"/>
      <c r="I16" s="14"/>
      <c r="J16" s="14"/>
      <c r="K16" s="14"/>
      <c r="L16" s="14"/>
      <c r="M16" s="14"/>
    </row>
    <row r="17" customFormat="false" ht="15" hidden="false" customHeight="true" outlineLevel="0" collapsed="false">
      <c r="A17" s="27" t="s">
        <v>198</v>
      </c>
      <c r="B17" s="35" t="n">
        <f aca="false">MIN(B15:M15)</f>
        <v>-32588702.32768</v>
      </c>
      <c r="C17" s="7" t="s">
        <v>199</v>
      </c>
      <c r="D17" s="7"/>
      <c r="E17" s="7"/>
      <c r="F17" s="7"/>
      <c r="G17" s="7"/>
      <c r="H17" s="7"/>
      <c r="I17" s="7"/>
      <c r="J17" s="7"/>
      <c r="K17" s="7"/>
      <c r="L17" s="7"/>
      <c r="M17" s="7"/>
      <c r="N17" s="7"/>
    </row>
  </sheetData>
  <mergeCells count="3">
    <mergeCell ref="A1:N1"/>
    <mergeCell ref="A2:N2"/>
    <mergeCell ref="C17:N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6" min="2" style="0" width="16"/>
  </cols>
  <sheetData>
    <row r="1" customFormat="false" ht="19.4" hidden="false" customHeight="false" outlineLevel="0" collapsed="false">
      <c r="A1" s="36" t="s">
        <v>200</v>
      </c>
      <c r="B1" s="36"/>
      <c r="C1" s="36"/>
      <c r="D1" s="36"/>
      <c r="E1" s="36"/>
      <c r="F1" s="36"/>
    </row>
    <row r="2" customFormat="false" ht="15" hidden="false" customHeight="false" outlineLevel="0" collapsed="false">
      <c r="A2" s="5" t="s">
        <v>14</v>
      </c>
      <c r="B2" s="37" t="s">
        <v>201</v>
      </c>
      <c r="C2" s="37" t="s">
        <v>202</v>
      </c>
      <c r="D2" s="37" t="s">
        <v>203</v>
      </c>
      <c r="E2" s="37" t="s">
        <v>204</v>
      </c>
      <c r="F2" s="37" t="s">
        <v>205</v>
      </c>
    </row>
    <row r="3" customFormat="false" ht="15" hidden="false" customHeight="false" outlineLevel="0" collapsed="false">
      <c r="A3" s="9" t="s">
        <v>206</v>
      </c>
      <c r="B3" s="23" t="n">
        <v>0.35</v>
      </c>
      <c r="C3" s="23" t="n">
        <v>0.65</v>
      </c>
      <c r="D3" s="23" t="n">
        <v>0.8</v>
      </c>
      <c r="E3" s="23" t="n">
        <v>0.85</v>
      </c>
      <c r="F3" s="23" t="n">
        <v>0.85</v>
      </c>
    </row>
    <row r="4" customFormat="false" ht="15" hidden="false" customHeight="false" outlineLevel="0" collapsed="false">
      <c r="A4" s="9" t="s">
        <v>207</v>
      </c>
      <c r="B4" s="33" t="n">
        <f aca="false">前提条件!$B$3*B3</f>
        <v>7</v>
      </c>
      <c r="C4" s="33" t="n">
        <f aca="false">前提条件!$B$3*C3</f>
        <v>13</v>
      </c>
      <c r="D4" s="33" t="n">
        <f aca="false">前提条件!$B$3*D3</f>
        <v>16</v>
      </c>
      <c r="E4" s="33" t="n">
        <f aca="false">前提条件!$B$3*E3</f>
        <v>17</v>
      </c>
      <c r="F4" s="33" t="n">
        <f aca="false">前提条件!$B$3*F3</f>
        <v>17</v>
      </c>
    </row>
    <row r="5" customFormat="false" ht="15" hidden="false" customHeight="false" outlineLevel="0" collapsed="false">
      <c r="A5" s="9" t="s">
        <v>208</v>
      </c>
      <c r="B5" s="38" t="n">
        <f aca="false">前提条件!$B$21</f>
        <v>250</v>
      </c>
      <c r="C5" s="38" t="n">
        <f aca="false">前提条件!$B$21</f>
        <v>250</v>
      </c>
      <c r="D5" s="38" t="n">
        <f aca="false">前提条件!$B$21</f>
        <v>250</v>
      </c>
      <c r="E5" s="38" t="n">
        <f aca="false">前提条件!$B$21</f>
        <v>250</v>
      </c>
      <c r="F5" s="38" t="n">
        <f aca="false">前提条件!$B$21</f>
        <v>250</v>
      </c>
    </row>
    <row r="6" customFormat="false" ht="14.9" hidden="false" customHeight="false" outlineLevel="0" collapsed="false">
      <c r="A6" s="9" t="s">
        <v>209</v>
      </c>
      <c r="B6" s="13" t="n">
        <f aca="false">前提条件!$B$5*前提条件!$B$9</f>
        <v>10170.2</v>
      </c>
      <c r="C6" s="13" t="n">
        <f aca="false">前提条件!$B$5*前提条件!$B$9</f>
        <v>10170.2</v>
      </c>
      <c r="D6" s="13" t="n">
        <f aca="false">前提条件!$B$5*前提条件!$B$9</f>
        <v>10170.2</v>
      </c>
      <c r="E6" s="13" t="n">
        <f aca="false">前提条件!$B$5*前提条件!$B$9</f>
        <v>10170.2</v>
      </c>
      <c r="F6" s="13" t="n">
        <f aca="false">前提条件!$B$5*前提条件!$B$9</f>
        <v>10170.2</v>
      </c>
    </row>
    <row r="7" customFormat="false" ht="15" hidden="false" customHeight="false" outlineLevel="0" collapsed="false">
      <c r="A7" s="9" t="s">
        <v>210</v>
      </c>
      <c r="B7" s="24" t="n">
        <v>0</v>
      </c>
      <c r="C7" s="24" t="n">
        <v>0</v>
      </c>
      <c r="D7" s="24" t="n">
        <v>1</v>
      </c>
      <c r="E7" s="24" t="n">
        <v>1</v>
      </c>
      <c r="F7" s="24" t="n">
        <v>1</v>
      </c>
    </row>
    <row r="8" customFormat="false" ht="15" hidden="false" customHeight="false" outlineLevel="0" collapsed="false">
      <c r="A8" s="14"/>
      <c r="B8" s="14"/>
      <c r="C8" s="14"/>
      <c r="D8" s="14"/>
      <c r="E8" s="14"/>
      <c r="F8" s="14"/>
    </row>
    <row r="9" customFormat="false" ht="15" hidden="false" customHeight="false" outlineLevel="0" collapsed="false">
      <c r="A9" s="30" t="s">
        <v>211</v>
      </c>
      <c r="B9" s="14"/>
      <c r="C9" s="14"/>
      <c r="D9" s="14"/>
      <c r="E9" s="14"/>
      <c r="F9" s="14"/>
    </row>
    <row r="10" customFormat="false" ht="15" hidden="false" customHeight="false" outlineLevel="0" collapsed="false">
      <c r="A10" s="9" t="s">
        <v>212</v>
      </c>
      <c r="B10" s="13" t="n">
        <f aca="false">B4*B6*B5</f>
        <v>17797850</v>
      </c>
      <c r="C10" s="13" t="n">
        <f aca="false">C4*C6*C5</f>
        <v>33053150</v>
      </c>
      <c r="D10" s="13" t="n">
        <f aca="false">D4*D6*D5</f>
        <v>40680800</v>
      </c>
      <c r="E10" s="13" t="n">
        <f aca="false">E4*E6*E5</f>
        <v>43223350</v>
      </c>
      <c r="F10" s="13" t="n">
        <f aca="false">F4*F6*F5</f>
        <v>43223350</v>
      </c>
    </row>
    <row r="11" customFormat="false" ht="14.9" hidden="false" customHeight="false" outlineLevel="0" collapsed="false">
      <c r="A11" s="9" t="s">
        <v>213</v>
      </c>
      <c r="B11" s="13" t="n">
        <f aca="false">B4*前提条件!$B$13*((前提条件!$B$10+前提条件!$B$12*前提条件!$B$11)*2)*前提条件!$B$9*B5</f>
        <v>1447460</v>
      </c>
      <c r="C11" s="13" t="n">
        <f aca="false">C4*前提条件!$B$13*((前提条件!$B$10+前提条件!$B$12*前提条件!$B$11)*2)*前提条件!$B$9*C5</f>
        <v>2688140</v>
      </c>
      <c r="D11" s="13" t="n">
        <f aca="false">D4*前提条件!$B$13*((前提条件!$B$10+前提条件!$B$12*前提条件!$B$11)*2)*前提条件!$B$9*D5</f>
        <v>3308480</v>
      </c>
      <c r="E11" s="13" t="n">
        <f aca="false">E4*前提条件!$B$13*((前提条件!$B$10+前提条件!$B$12*前提条件!$B$11)*2)*前提条件!$B$9*E5</f>
        <v>3515260</v>
      </c>
      <c r="F11" s="13" t="n">
        <f aca="false">F4*前提条件!$B$13*((前提条件!$B$10+前提条件!$B$12*前提条件!$B$11)*2)*前提条件!$B$9*F5</f>
        <v>3515260</v>
      </c>
    </row>
    <row r="12" customFormat="false" ht="14.9" hidden="false" customHeight="false" outlineLevel="0" collapsed="false">
      <c r="A12" s="9" t="s">
        <v>214</v>
      </c>
      <c r="B12" s="13" t="n">
        <f aca="false">B10*前提条件!$B$14</f>
        <v>1495019.4</v>
      </c>
      <c r="C12" s="13" t="n">
        <f aca="false">C10*前提条件!$B$14</f>
        <v>2776464.6</v>
      </c>
      <c r="D12" s="13" t="n">
        <f aca="false">D10*前提条件!$B$14</f>
        <v>3417187.2</v>
      </c>
      <c r="E12" s="13" t="n">
        <f aca="false">E10*前提条件!$B$14</f>
        <v>3630761.4</v>
      </c>
      <c r="F12" s="13" t="n">
        <f aca="false">F10*前提条件!$B$14</f>
        <v>3630761.4</v>
      </c>
    </row>
    <row r="13" customFormat="false" ht="15" hidden="false" customHeight="false" outlineLevel="0" collapsed="false">
      <c r="A13" s="9" t="s">
        <v>215</v>
      </c>
      <c r="B13" s="13" t="n">
        <f aca="false">B4*前提条件!$B$16*前提条件!$B$17*(前提条件!$B$21/5)*前提条件!$B$18*前提条件!$B$9</f>
        <v>147700</v>
      </c>
      <c r="C13" s="13" t="n">
        <f aca="false">C4*前提条件!$B$16*前提条件!$B$17*(前提条件!$B$21/5)*前提条件!$B$18*前提条件!$B$9</f>
        <v>274300</v>
      </c>
      <c r="D13" s="13" t="n">
        <f aca="false">D4*前提条件!$B$16*前提条件!$B$17*(前提条件!$B$21/5)*前提条件!$B$18*前提条件!$B$9</f>
        <v>337600</v>
      </c>
      <c r="E13" s="13" t="n">
        <f aca="false">E4*前提条件!$B$16*前提条件!$B$17*(前提条件!$B$21/5)*前提条件!$B$18*前提条件!$B$9</f>
        <v>358700</v>
      </c>
      <c r="F13" s="13" t="n">
        <f aca="false">F4*前提条件!$B$16*前提条件!$B$17*(前提条件!$B$21/5)*前提条件!$B$18*前提条件!$B$9</f>
        <v>358700</v>
      </c>
    </row>
    <row r="14" customFormat="false" ht="14.9" hidden="false" customHeight="false" outlineLevel="0" collapsed="false">
      <c r="A14" s="9" t="s">
        <v>216</v>
      </c>
      <c r="B14" s="13" t="n">
        <f aca="false">B4*前提条件!$B$19*前提条件!$B$20*前提条件!$B$9*B5</f>
        <v>166162.5</v>
      </c>
      <c r="C14" s="13" t="n">
        <f aca="false">C4*前提条件!$B$19*前提条件!$B$20*前提条件!$B$9*C5</f>
        <v>308587.5</v>
      </c>
      <c r="D14" s="13" t="n">
        <f aca="false">D4*前提条件!$B$19*前提条件!$B$20*前提条件!$B$9*D5</f>
        <v>379800</v>
      </c>
      <c r="E14" s="13" t="n">
        <f aca="false">E4*前提条件!$B$19*前提条件!$B$20*前提条件!$B$9*E5</f>
        <v>403537.5</v>
      </c>
      <c r="F14" s="13" t="n">
        <f aca="false">F4*前提条件!$B$19*前提条件!$B$20*前提条件!$B$9*F5</f>
        <v>403537.5</v>
      </c>
    </row>
    <row r="15" customFormat="false" ht="14.9" hidden="false" customHeight="false" outlineLevel="0" collapsed="false">
      <c r="A15" s="9" t="s">
        <v>217</v>
      </c>
      <c r="B15" s="13" t="n">
        <f aca="false">B4*前提条件!$B$15*前提条件!$B$9*B5</f>
        <v>387712.5</v>
      </c>
      <c r="C15" s="13" t="n">
        <f aca="false">C4*前提条件!$B$15*前提条件!$B$9*C5</f>
        <v>720037.5</v>
      </c>
      <c r="D15" s="13" t="n">
        <f aca="false">D4*前提条件!$B$15*前提条件!$B$9*D5</f>
        <v>886200</v>
      </c>
      <c r="E15" s="13" t="n">
        <f aca="false">E4*前提条件!$B$15*前提条件!$B$9*E5</f>
        <v>941587.5</v>
      </c>
      <c r="F15" s="13" t="n">
        <f aca="false">F4*前提条件!$B$15*前提条件!$B$9*F5</f>
        <v>941587.5</v>
      </c>
    </row>
    <row r="16" customFormat="false" ht="14.9" hidden="false" customHeight="false" outlineLevel="0" collapsed="false">
      <c r="A16" s="9" t="s">
        <v>218</v>
      </c>
      <c r="B16" s="13" t="n">
        <f aca="false">B4*B7*加算フル活用シナリオ!$B$12*前提条件!$B$9*B5</f>
        <v>0</v>
      </c>
      <c r="C16" s="13" t="n">
        <f aca="false">C4*C7*加算フル活用シナリオ!$B$12*前提条件!$B$9*C5</f>
        <v>0</v>
      </c>
      <c r="D16" s="13" t="n">
        <f aca="false">D4*D7*加算フル活用シナリオ!$B$12*前提条件!$B$9*D5</f>
        <v>7638200</v>
      </c>
      <c r="E16" s="13" t="n">
        <f aca="false">E4*E7*加算フル活用シナリオ!$B$12*前提条件!$B$9*E5</f>
        <v>8115587.5</v>
      </c>
      <c r="F16" s="13" t="n">
        <f aca="false">F4*F7*加算フル活用シナリオ!$B$12*前提条件!$B$9*F5</f>
        <v>8115587.5</v>
      </c>
    </row>
    <row r="17" customFormat="false" ht="15" hidden="false" customHeight="false" outlineLevel="0" collapsed="false">
      <c r="A17" s="30" t="s">
        <v>219</v>
      </c>
      <c r="B17" s="16" t="n">
        <f aca="false">SUM(B10:B16)</f>
        <v>21441904.4</v>
      </c>
      <c r="C17" s="16" t="n">
        <f aca="false">SUM(C10:C16)</f>
        <v>39820679.6</v>
      </c>
      <c r="D17" s="16" t="n">
        <f aca="false">SUM(D10:D16)</f>
        <v>56648267.2</v>
      </c>
      <c r="E17" s="16" t="n">
        <f aca="false">SUM(E10:E16)</f>
        <v>60188783.9</v>
      </c>
      <c r="F17" s="16" t="n">
        <f aca="false">SUM(F10:F16)</f>
        <v>60188783.9</v>
      </c>
    </row>
    <row r="18" customFormat="false" ht="15" hidden="false" customHeight="false" outlineLevel="0" collapsed="false">
      <c r="A18" s="14"/>
      <c r="B18" s="14"/>
      <c r="C18" s="14"/>
      <c r="D18" s="14"/>
      <c r="E18" s="14"/>
      <c r="F18" s="14"/>
    </row>
    <row r="19" customFormat="false" ht="15" hidden="false" customHeight="false" outlineLevel="0" collapsed="false">
      <c r="A19" s="30" t="s">
        <v>220</v>
      </c>
      <c r="B19" s="14"/>
      <c r="C19" s="14"/>
      <c r="D19" s="14"/>
      <c r="E19" s="14"/>
      <c r="F19" s="14"/>
    </row>
    <row r="20" customFormat="false" ht="14.9" hidden="false" customHeight="false" outlineLevel="0" collapsed="false">
      <c r="A20" s="9" t="s">
        <v>221</v>
      </c>
      <c r="B20" s="13" t="n">
        <f aca="false">人件費!$D$12</f>
        <v>39652000</v>
      </c>
      <c r="C20" s="13" t="n">
        <f aca="false">人件費!$D$12</f>
        <v>39652000</v>
      </c>
      <c r="D20" s="13" t="n">
        <f aca="false">人件費!$D$12</f>
        <v>39652000</v>
      </c>
      <c r="E20" s="13" t="n">
        <f aca="false">人件費!$D$12</f>
        <v>39652000</v>
      </c>
      <c r="F20" s="13" t="n">
        <f aca="false">人件費!$D$12</f>
        <v>39652000</v>
      </c>
    </row>
    <row r="21" customFormat="false" ht="14.9" hidden="false" customHeight="false" outlineLevel="0" collapsed="false">
      <c r="A21" s="9" t="s">
        <v>222</v>
      </c>
      <c r="B21" s="13" t="n">
        <f aca="false">B12</f>
        <v>1495019.4</v>
      </c>
      <c r="C21" s="13" t="n">
        <f aca="false">C12</f>
        <v>2776464.6</v>
      </c>
      <c r="D21" s="13" t="n">
        <f aca="false">D12</f>
        <v>3417187.2</v>
      </c>
      <c r="E21" s="13" t="n">
        <f aca="false">E12</f>
        <v>3630761.4</v>
      </c>
      <c r="F21" s="13" t="n">
        <f aca="false">F12</f>
        <v>3630761.4</v>
      </c>
    </row>
    <row r="22" customFormat="false" ht="14.9" hidden="false" customHeight="false" outlineLevel="0" collapsed="false">
      <c r="A22" s="9" t="s">
        <v>223</v>
      </c>
      <c r="B22" s="10" t="n">
        <v>1200000</v>
      </c>
      <c r="C22" s="10" t="n">
        <v>1200000</v>
      </c>
      <c r="D22" s="10" t="n">
        <v>3600000</v>
      </c>
      <c r="E22" s="10" t="n">
        <v>3600000</v>
      </c>
      <c r="F22" s="10" t="n">
        <v>3600000</v>
      </c>
    </row>
    <row r="23" customFormat="false" ht="15" hidden="false" customHeight="false" outlineLevel="0" collapsed="false">
      <c r="A23" s="9" t="s">
        <v>224</v>
      </c>
      <c r="B23" s="13" t="n">
        <f aca="false">前提条件!$B$22*12</f>
        <v>4800000</v>
      </c>
      <c r="C23" s="13" t="n">
        <f aca="false">前提条件!$B$22*12</f>
        <v>4800000</v>
      </c>
      <c r="D23" s="13" t="n">
        <f aca="false">前提条件!$B$22*12</f>
        <v>4800000</v>
      </c>
      <c r="E23" s="13" t="n">
        <f aca="false">前提条件!$B$22*12</f>
        <v>4800000</v>
      </c>
      <c r="F23" s="13" t="n">
        <f aca="false">前提条件!$B$22*12</f>
        <v>4800000</v>
      </c>
    </row>
    <row r="24" customFormat="false" ht="15" hidden="false" customHeight="false" outlineLevel="0" collapsed="false">
      <c r="A24" s="9" t="s">
        <v>225</v>
      </c>
      <c r="B24" s="13" t="n">
        <f aca="false">前提条件!$B$23</f>
        <v>900000</v>
      </c>
      <c r="C24" s="13" t="n">
        <f aca="false">前提条件!$B$23</f>
        <v>900000</v>
      </c>
      <c r="D24" s="13" t="n">
        <f aca="false">前提条件!$B$23</f>
        <v>900000</v>
      </c>
      <c r="E24" s="13" t="n">
        <f aca="false">前提条件!$B$23</f>
        <v>900000</v>
      </c>
      <c r="F24" s="13" t="n">
        <f aca="false">前提条件!$B$23</f>
        <v>900000</v>
      </c>
    </row>
    <row r="25" customFormat="false" ht="15" hidden="false" customHeight="false" outlineLevel="0" collapsed="false">
      <c r="A25" s="9" t="s">
        <v>226</v>
      </c>
      <c r="B25" s="13" t="n">
        <f aca="false">前提条件!$B$24</f>
        <v>4650000</v>
      </c>
      <c r="C25" s="13" t="n">
        <f aca="false">前提条件!$B$24</f>
        <v>4650000</v>
      </c>
      <c r="D25" s="13" t="n">
        <f aca="false">前提条件!$B$24</f>
        <v>4650000</v>
      </c>
      <c r="E25" s="13" t="n">
        <f aca="false">前提条件!$B$24</f>
        <v>4650000</v>
      </c>
      <c r="F25" s="13" t="n">
        <f aca="false">前提条件!$B$24</f>
        <v>4650000</v>
      </c>
    </row>
    <row r="26" customFormat="false" ht="15" hidden="false" customHeight="false" outlineLevel="0" collapsed="false">
      <c r="A26" s="9" t="s">
        <v>227</v>
      </c>
      <c r="B26" s="13" t="n">
        <f aca="false">前提条件!$B$25/前提条件!$B$26</f>
        <v>2312500</v>
      </c>
      <c r="C26" s="13" t="n">
        <f aca="false">前提条件!$B$25/前提条件!$B$26</f>
        <v>2312500</v>
      </c>
      <c r="D26" s="13" t="n">
        <f aca="false">前提条件!$B$25/前提条件!$B$26</f>
        <v>2312500</v>
      </c>
      <c r="E26" s="13" t="n">
        <f aca="false">前提条件!$B$25/前提条件!$B$26</f>
        <v>2312500</v>
      </c>
      <c r="F26" s="13" t="n">
        <f aca="false">前提条件!$B$25/前提条件!$B$26</f>
        <v>2312500</v>
      </c>
    </row>
    <row r="27" customFormat="false" ht="14.9" hidden="false" customHeight="false" outlineLevel="0" collapsed="false">
      <c r="A27" s="9" t="s">
        <v>228</v>
      </c>
      <c r="B27" s="13" t="n">
        <f aca="false">B7*加算フル活用シナリオ!$C$12*加算フル活用シナリオ!$B$8</f>
        <v>0</v>
      </c>
      <c r="C27" s="13" t="n">
        <f aca="false">C7*加算フル活用シナリオ!$C$12*加算フル活用シナリオ!$B$8</f>
        <v>0</v>
      </c>
      <c r="D27" s="13" t="n">
        <f aca="false">D7*加算フル活用シナリオ!$C$12*加算フル活用シナリオ!$B$8</f>
        <v>6210000</v>
      </c>
      <c r="E27" s="13" t="n">
        <f aca="false">E7*加算フル活用シナリオ!$C$12*加算フル活用シナリオ!$B$8</f>
        <v>6210000</v>
      </c>
      <c r="F27" s="13" t="n">
        <f aca="false">F7*加算フル活用シナリオ!$C$12*加算フル活用シナリオ!$B$8</f>
        <v>6210000</v>
      </c>
    </row>
    <row r="28" customFormat="false" ht="15" hidden="false" customHeight="false" outlineLevel="0" collapsed="false">
      <c r="A28" s="30" t="s">
        <v>229</v>
      </c>
      <c r="B28" s="16" t="n">
        <f aca="false">SUM(B20:B27)</f>
        <v>55009519.4</v>
      </c>
      <c r="C28" s="16" t="n">
        <f aca="false">SUM(C20:C27)</f>
        <v>56290964.6</v>
      </c>
      <c r="D28" s="16" t="n">
        <f aca="false">SUM(D20:D27)</f>
        <v>65541687.2</v>
      </c>
      <c r="E28" s="16" t="n">
        <f aca="false">SUM(E20:E27)</f>
        <v>65755261.4</v>
      </c>
      <c r="F28" s="16" t="n">
        <f aca="false">SUM(F20:F27)</f>
        <v>65755261.4</v>
      </c>
    </row>
    <row r="29" customFormat="false" ht="15" hidden="false" customHeight="false" outlineLevel="0" collapsed="false">
      <c r="A29" s="14"/>
      <c r="B29" s="14"/>
      <c r="C29" s="14"/>
      <c r="D29" s="14"/>
      <c r="E29" s="14"/>
      <c r="F29" s="14"/>
    </row>
    <row r="30" customFormat="false" ht="15" hidden="false" customHeight="false" outlineLevel="0" collapsed="false">
      <c r="A30" s="30" t="s">
        <v>230</v>
      </c>
      <c r="B30" s="16" t="n">
        <f aca="false">B17-B28</f>
        <v>-33567615</v>
      </c>
      <c r="C30" s="16" t="n">
        <f aca="false">C17-C28</f>
        <v>-16470285</v>
      </c>
      <c r="D30" s="16" t="n">
        <f aca="false">D17-D28</f>
        <v>-8893420</v>
      </c>
      <c r="E30" s="16" t="n">
        <f aca="false">E17-E28</f>
        <v>-5566477.49999999</v>
      </c>
      <c r="F30" s="16" t="n">
        <f aca="false">F17-F28</f>
        <v>-5566477.49999999</v>
      </c>
    </row>
    <row r="31" customFormat="false" ht="15" hidden="false" customHeight="false" outlineLevel="0" collapsed="false">
      <c r="A31" s="9" t="s">
        <v>231</v>
      </c>
      <c r="B31" s="34" t="n">
        <f aca="false">IFERROR(B30/B17,0)</f>
        <v>-1.56551462844877</v>
      </c>
      <c r="C31" s="34" t="n">
        <f aca="false">IFERROR(C30/C17,0)</f>
        <v>-0.413611348812841</v>
      </c>
      <c r="D31" s="34" t="n">
        <f aca="false">IFERROR(D30/D17,0)</f>
        <v>-0.156993681176536</v>
      </c>
      <c r="E31" s="34" t="n">
        <f aca="false">IFERROR(E30/E17,0)</f>
        <v>-0.0924836346460888</v>
      </c>
      <c r="F31" s="34" t="n">
        <f aca="false">IFERROR(F30/F17,0)</f>
        <v>-0.0924836346460888</v>
      </c>
    </row>
    <row r="32" customFormat="false" ht="15" hidden="false" customHeight="false" outlineLevel="0" collapsed="false">
      <c r="A32" s="14"/>
      <c r="B32" s="14"/>
      <c r="C32" s="14"/>
      <c r="D32" s="14"/>
      <c r="E32" s="14"/>
      <c r="F32" s="14"/>
    </row>
    <row r="33" customFormat="false" ht="15" hidden="false" customHeight="false" outlineLevel="0" collapsed="false">
      <c r="A33" s="30" t="s">
        <v>232</v>
      </c>
      <c r="B33" s="14"/>
      <c r="C33" s="14"/>
      <c r="D33" s="14"/>
      <c r="E33" s="14"/>
      <c r="F33" s="14"/>
    </row>
    <row r="34" customFormat="false" ht="14.9" hidden="false" customHeight="false" outlineLevel="0" collapsed="false">
      <c r="A34" s="9" t="s">
        <v>233</v>
      </c>
      <c r="B34" s="13" t="n">
        <f aca="false">B30+B26</f>
        <v>-31255115</v>
      </c>
      <c r="C34" s="13" t="n">
        <f aca="false">C30+C26</f>
        <v>-14157785</v>
      </c>
      <c r="D34" s="13" t="n">
        <f aca="false">D30+D26</f>
        <v>-6580920</v>
      </c>
      <c r="E34" s="13" t="n">
        <f aca="false">E30+E26</f>
        <v>-3253977.49999999</v>
      </c>
      <c r="F34" s="13" t="n">
        <f aca="false">F30+F26</f>
        <v>-3253977.49999999</v>
      </c>
    </row>
    <row r="35" customFormat="false" ht="14.9" hidden="false" customHeight="false" outlineLevel="0" collapsed="false">
      <c r="A35" s="9" t="s">
        <v>234</v>
      </c>
      <c r="B35" s="25" t="n">
        <v>0</v>
      </c>
      <c r="C35" s="25" t="n">
        <v>3500000</v>
      </c>
      <c r="D35" s="25" t="n">
        <v>4000000</v>
      </c>
      <c r="E35" s="25" t="n">
        <v>4000000</v>
      </c>
      <c r="F35" s="25" t="n">
        <v>4000000</v>
      </c>
    </row>
    <row r="36" customFormat="false" ht="15" hidden="false" customHeight="false" outlineLevel="0" collapsed="false">
      <c r="A36" s="9" t="s">
        <v>235</v>
      </c>
      <c r="B36" s="13" t="n">
        <f aca="false">B34-B35</f>
        <v>-31255115</v>
      </c>
      <c r="C36" s="13" t="n">
        <f aca="false">C34-C35</f>
        <v>-17657785</v>
      </c>
      <c r="D36" s="13" t="n">
        <f aca="false">D34-D35</f>
        <v>-10580920</v>
      </c>
      <c r="E36" s="13" t="n">
        <f aca="false">E34-E35</f>
        <v>-7253977.49999999</v>
      </c>
      <c r="F36" s="13" t="n">
        <f aca="false">F34-F35</f>
        <v>-7253977.49999999</v>
      </c>
    </row>
    <row r="37" customFormat="false" ht="14.9" hidden="false" customHeight="false" outlineLevel="0" collapsed="false">
      <c r="A37" s="30" t="s">
        <v>236</v>
      </c>
      <c r="B37" s="16" t="n">
        <f aca="false">B36</f>
        <v>-31255115</v>
      </c>
      <c r="C37" s="16" t="n">
        <f aca="false">B37+C36</f>
        <v>-48912900</v>
      </c>
      <c r="D37" s="16" t="n">
        <f aca="false">C37+D36</f>
        <v>-59493820</v>
      </c>
      <c r="E37" s="16" t="n">
        <f aca="false">D37+E36</f>
        <v>-66747797.5</v>
      </c>
      <c r="F37" s="16" t="n">
        <f aca="false">E37+F36</f>
        <v>-74001775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6" min="2" style="0" width="16"/>
  </cols>
  <sheetData>
    <row r="1" customFormat="false" ht="17.35" hidden="false" customHeight="false" outlineLevel="0" collapsed="false">
      <c r="A1" s="8" t="s">
        <v>237</v>
      </c>
      <c r="B1" s="8"/>
      <c r="C1" s="8"/>
      <c r="D1" s="8"/>
      <c r="E1" s="8"/>
    </row>
    <row r="2" customFormat="false" ht="60" hidden="false" customHeight="true" outlineLevel="0" collapsed="false">
      <c r="A2" s="7" t="s">
        <v>238</v>
      </c>
      <c r="B2" s="7"/>
      <c r="C2" s="7"/>
      <c r="D2" s="7"/>
      <c r="E2" s="7"/>
    </row>
    <row r="4" customFormat="false" ht="15" hidden="false" customHeight="false" outlineLevel="0" collapsed="false">
      <c r="A4" s="2" t="s">
        <v>239</v>
      </c>
    </row>
    <row r="5" customFormat="false" ht="15" hidden="false" customHeight="false" outlineLevel="0" collapsed="false">
      <c r="A5" s="9" t="s">
        <v>240</v>
      </c>
      <c r="B5" s="33" t="n">
        <f aca="false">収支計画5年!$F$4</f>
        <v>17</v>
      </c>
      <c r="C5" s="12" t="s">
        <v>241</v>
      </c>
    </row>
    <row r="6" customFormat="false" ht="15" hidden="false" customHeight="false" outlineLevel="0" collapsed="false">
      <c r="A6" s="9" t="s">
        <v>88</v>
      </c>
      <c r="B6" s="9" t="n">
        <f aca="false">前提条件!$B$21</f>
        <v>250</v>
      </c>
      <c r="C6" s="12" t="s">
        <v>242</v>
      </c>
    </row>
    <row r="7" customFormat="false" ht="15" hidden="false" customHeight="false" outlineLevel="0" collapsed="false">
      <c r="A7" s="9" t="s">
        <v>64</v>
      </c>
      <c r="B7" s="39" t="n">
        <f aca="false">前提条件!$B$9</f>
        <v>10.55</v>
      </c>
      <c r="C7" s="12" t="s">
        <v>243</v>
      </c>
    </row>
    <row r="8" customFormat="false" ht="15" hidden="false" customHeight="false" outlineLevel="0" collapsed="false">
      <c r="A8" s="9" t="s">
        <v>244</v>
      </c>
      <c r="B8" s="9" t="n">
        <f aca="false">人件費!$C$5*1.15</f>
        <v>4140000</v>
      </c>
      <c r="C8" s="12" t="s">
        <v>245</v>
      </c>
    </row>
    <row r="10" customFormat="false" ht="15" hidden="false" customHeight="false" outlineLevel="0" collapsed="false">
      <c r="A10" s="2" t="s">
        <v>246</v>
      </c>
    </row>
    <row r="11" customFormat="false" ht="28.35" hidden="false" customHeight="false" outlineLevel="0" collapsed="false">
      <c r="A11" s="5" t="s">
        <v>247</v>
      </c>
      <c r="B11" s="5" t="s">
        <v>248</v>
      </c>
      <c r="C11" s="5" t="s">
        <v>249</v>
      </c>
      <c r="D11" s="5" t="s">
        <v>250</v>
      </c>
      <c r="E11" s="5" t="s">
        <v>251</v>
      </c>
      <c r="F11" s="5" t="s">
        <v>252</v>
      </c>
    </row>
    <row r="12" customFormat="false" ht="15" hidden="false" customHeight="false" outlineLevel="0" collapsed="false">
      <c r="A12" s="11" t="s">
        <v>253</v>
      </c>
      <c r="B12" s="19" t="n">
        <v>181</v>
      </c>
      <c r="C12" s="19" t="n">
        <v>1.5</v>
      </c>
      <c r="D12" s="13" t="n">
        <f aca="false">C12*$B$8</f>
        <v>6210000</v>
      </c>
      <c r="E12" s="13" t="n">
        <f aca="false">$B$5*B12*$B$7*$B$6</f>
        <v>8115587.5</v>
      </c>
      <c r="F12" s="16" t="n">
        <f aca="false">E12-D12</f>
        <v>1905587.5</v>
      </c>
    </row>
    <row r="13" customFormat="false" ht="15" hidden="false" customHeight="false" outlineLevel="0" collapsed="false">
      <c r="A13" s="11" t="s">
        <v>254</v>
      </c>
      <c r="B13" s="19" t="n">
        <v>265</v>
      </c>
      <c r="C13" s="19" t="n">
        <v>3</v>
      </c>
      <c r="D13" s="13" t="n">
        <f aca="false">C13*$B$8</f>
        <v>12420000</v>
      </c>
      <c r="E13" s="13" t="n">
        <f aca="false">$B$5*B13*$B$7*$B$6</f>
        <v>11881937.5</v>
      </c>
      <c r="F13" s="16" t="n">
        <f aca="false">E13-D13</f>
        <v>-538062.499999998</v>
      </c>
    </row>
    <row r="14" customFormat="false" ht="15" hidden="false" customHeight="false" outlineLevel="0" collapsed="false">
      <c r="A14" s="11" t="s">
        <v>255</v>
      </c>
      <c r="B14" s="19" t="n">
        <v>321</v>
      </c>
      <c r="C14" s="19" t="n">
        <v>5.9</v>
      </c>
      <c r="D14" s="13" t="n">
        <f aca="false">C14*$B$8</f>
        <v>24426000</v>
      </c>
      <c r="E14" s="13" t="n">
        <f aca="false">$B$5*B14*$B$7*$B$6</f>
        <v>14392837.5</v>
      </c>
      <c r="F14" s="16" t="n">
        <f aca="false">E14-D14</f>
        <v>-10033162.5</v>
      </c>
    </row>
    <row r="16" customFormat="false" ht="45" hidden="false" customHeight="true" outlineLevel="0" collapsed="false">
      <c r="A16" s="7" t="s">
        <v>256</v>
      </c>
      <c r="B16" s="7"/>
      <c r="C16" s="7"/>
      <c r="D16" s="7"/>
      <c r="E16" s="7"/>
      <c r="F16" s="7"/>
    </row>
    <row r="18" customFormat="false" ht="15" hidden="false" customHeight="false" outlineLevel="0" collapsed="false">
      <c r="A18" s="2" t="s">
        <v>257</v>
      </c>
    </row>
    <row r="19" customFormat="false" ht="15" hidden="false" customHeight="false" outlineLevel="0" collapsed="false">
      <c r="A19" s="5" t="s">
        <v>14</v>
      </c>
      <c r="B19" s="37" t="s">
        <v>201</v>
      </c>
      <c r="C19" s="37" t="s">
        <v>202</v>
      </c>
      <c r="D19" s="37" t="s">
        <v>203</v>
      </c>
      <c r="E19" s="37" t="s">
        <v>204</v>
      </c>
      <c r="F19" s="37" t="s">
        <v>205</v>
      </c>
    </row>
    <row r="20" customFormat="false" ht="15" hidden="false" customHeight="false" outlineLevel="0" collapsed="false">
      <c r="A20" s="9" t="s">
        <v>258</v>
      </c>
      <c r="B20" s="33" t="n">
        <f aca="false">収支計画5年!B$4</f>
        <v>7</v>
      </c>
      <c r="C20" s="33" t="n">
        <f aca="false">収支計画5年!C$4</f>
        <v>13</v>
      </c>
      <c r="D20" s="33" t="n">
        <f aca="false">収支計画5年!D$4</f>
        <v>16</v>
      </c>
      <c r="E20" s="33" t="n">
        <f aca="false">収支計画5年!E$4</f>
        <v>17</v>
      </c>
      <c r="F20" s="33" t="n">
        <f aca="false">収支計画5年!F$4</f>
        <v>17</v>
      </c>
    </row>
    <row r="21" customFormat="false" ht="14.9" hidden="false" customHeight="false" outlineLevel="0" collapsed="false">
      <c r="A21" s="9" t="s">
        <v>259</v>
      </c>
      <c r="B21" s="13" t="n">
        <f aca="false">$C$12*$B$8</f>
        <v>6210000</v>
      </c>
      <c r="C21" s="13" t="n">
        <f aca="false">$C$12*$B$8</f>
        <v>6210000</v>
      </c>
      <c r="D21" s="13" t="n">
        <f aca="false">$C$12*$B$8</f>
        <v>6210000</v>
      </c>
      <c r="E21" s="13" t="n">
        <f aca="false">$C$12*$B$8</f>
        <v>6210000</v>
      </c>
      <c r="F21" s="13" t="n">
        <f aca="false">$C$12*$B$8</f>
        <v>6210000</v>
      </c>
    </row>
    <row r="22" customFormat="false" ht="14.9" hidden="false" customHeight="false" outlineLevel="0" collapsed="false">
      <c r="A22" s="9" t="s">
        <v>260</v>
      </c>
      <c r="B22" s="13" t="n">
        <f aca="false">B20*$B$12*$B$7*$B$6</f>
        <v>3341712.5</v>
      </c>
      <c r="C22" s="13" t="n">
        <f aca="false">C20*$B$12*$B$7*$B$6</f>
        <v>6206037.5</v>
      </c>
      <c r="D22" s="13" t="n">
        <f aca="false">D20*$B$12*$B$7*$B$6</f>
        <v>7638200</v>
      </c>
      <c r="E22" s="13" t="n">
        <f aca="false">E20*$B$12*$B$7*$B$6</f>
        <v>8115587.5</v>
      </c>
      <c r="F22" s="13" t="n">
        <f aca="false">F20*$B$12*$B$7*$B$6</f>
        <v>8115587.5</v>
      </c>
    </row>
    <row r="23" customFormat="false" ht="14.9" hidden="false" customHeight="false" outlineLevel="0" collapsed="false">
      <c r="A23" s="30" t="s">
        <v>261</v>
      </c>
      <c r="B23" s="16" t="n">
        <f aca="false">B22-B21</f>
        <v>-2868287.5</v>
      </c>
      <c r="C23" s="16" t="n">
        <f aca="false">C22-C21</f>
        <v>-3962.49999999907</v>
      </c>
      <c r="D23" s="16" t="n">
        <f aca="false">D22-D21</f>
        <v>1428200</v>
      </c>
      <c r="E23" s="16" t="n">
        <f aca="false">E22-E21</f>
        <v>1905587.5</v>
      </c>
      <c r="F23" s="16" t="n">
        <f aca="false">F22-F21</f>
        <v>1905587.5</v>
      </c>
    </row>
    <row r="24" customFormat="false" ht="15" hidden="false" customHeight="false" outlineLevel="0" collapsed="false">
      <c r="A24" s="9" t="s">
        <v>262</v>
      </c>
      <c r="B24" s="38" t="n">
        <f aca="false">収支計画5年!B$7</f>
        <v>0</v>
      </c>
      <c r="C24" s="38" t="n">
        <f aca="false">収支計画5年!C$7</f>
        <v>0</v>
      </c>
      <c r="D24" s="38" t="n">
        <f aca="false">収支計画5年!D$7</f>
        <v>1</v>
      </c>
      <c r="E24" s="38" t="n">
        <f aca="false">収支計画5年!E$7</f>
        <v>1</v>
      </c>
      <c r="F24" s="38" t="n">
        <f aca="false">収支計画5年!F$7</f>
        <v>1</v>
      </c>
    </row>
    <row r="26" customFormat="false" ht="45" hidden="false" customHeight="true" outlineLevel="0" collapsed="false">
      <c r="A26" s="7" t="s">
        <v>263</v>
      </c>
      <c r="B26" s="7"/>
      <c r="C26" s="7"/>
      <c r="D26" s="7"/>
      <c r="E26" s="7"/>
      <c r="F26" s="7"/>
    </row>
    <row r="28" customFormat="false" ht="15" hidden="false" customHeight="false" outlineLevel="0" collapsed="false">
      <c r="A28" s="2" t="s">
        <v>264</v>
      </c>
    </row>
    <row r="29" customFormat="false" ht="27.6" hidden="false" customHeight="false" outlineLevel="0" collapsed="false">
      <c r="A29" s="5" t="s">
        <v>265</v>
      </c>
      <c r="B29" s="5" t="s">
        <v>248</v>
      </c>
      <c r="C29" s="5" t="s">
        <v>266</v>
      </c>
      <c r="D29" s="5" t="s">
        <v>267</v>
      </c>
      <c r="E29" s="5" t="s">
        <v>251</v>
      </c>
      <c r="F29" s="5" t="s">
        <v>252</v>
      </c>
    </row>
    <row r="30" customFormat="false" ht="15" hidden="false" customHeight="false" outlineLevel="0" collapsed="false">
      <c r="A30" s="11" t="s">
        <v>268</v>
      </c>
      <c r="B30" s="19" t="n">
        <v>180</v>
      </c>
      <c r="C30" s="19" t="n">
        <v>3</v>
      </c>
      <c r="D30" s="10" t="n">
        <v>0</v>
      </c>
      <c r="E30" s="13" t="n">
        <f aca="false">C30*B30*$B$7*$B$6</f>
        <v>1424250</v>
      </c>
      <c r="F30" s="16" t="n">
        <f aca="false">E30-D30</f>
        <v>1424250</v>
      </c>
    </row>
    <row r="32" customFormat="false" ht="60" hidden="false" customHeight="true" outlineLevel="0" collapsed="false">
      <c r="A32" s="7" t="s">
        <v>269</v>
      </c>
      <c r="B32" s="7"/>
      <c r="C32" s="7"/>
      <c r="D32" s="7"/>
      <c r="E32" s="7"/>
      <c r="F32" s="7"/>
    </row>
  </sheetData>
  <mergeCells count="5">
    <mergeCell ref="A1:E1"/>
    <mergeCell ref="A2:E2"/>
    <mergeCell ref="A16:F16"/>
    <mergeCell ref="A26:F26"/>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2026-08-17T00:45:03Z</dcterms:created>
  <dc:creator>openpyxl</dc:creator>
  <dc:description/>
  <dc:language>en-US</dc:language>
  <cp:lastModifiedBy/>
  <dcterms:modified xsi:type="dcterms:W3CDTF">2026-08-17T00:45:03Z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