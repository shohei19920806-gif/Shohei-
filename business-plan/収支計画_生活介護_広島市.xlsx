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<sst xmlns="http://schemas.openxmlformats.org/spreadsheetml/2006/main" count="249" uniqueCount="225">
  <si>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</si>
  <si>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</si>
  <si>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</si>
  <si>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</si>
  <si>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</si>
  <si>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</si>
  <si>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</si>
  <si>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</si>
  <si>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</si>
  <si>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</si>
  <si>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</si>
  <si>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</si>
  <si>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</si>
  <si>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㎡超で必須</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ため、控除対象外消費税を別行で計上。金額は全て税込の概算。</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</si>
  <si>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</si>
  <si>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税込</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</si>
  <si>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</si>
  <si>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</si>
  <si>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</si>
  <si>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</si>
  <si>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</si>
  <si>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</si>
  <si>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</si>
  <si>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</si>
  <si>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</si>
  <si>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</si>
  <si>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</si>
  <si>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</si>
  <si>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</si>
  <si>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</si>
  <si>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</si>
  <si>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</si>
  <si>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</si>
  <si>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</si>
  <si>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</si>
  <si>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</si>
  <si>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</si>
  <si>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WenQuanYi Zen Hei"/>
        <family val="2"/>
      </rPr>
      <t xml:space="preserve">生活支援員等</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名の採用費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</si>
  <si>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</si>
  <si>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</si>
  <si>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</si>
  <si>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</si>
  <si>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</si>
  <si>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</si>
  <si>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</si>
  <si>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</si>
  <si>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</si>
  <si>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</si>
  <si>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</si>
  <si>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</si>
  <si>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</si>
  <si>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</si>
  <si>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</si>
  <si>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</si>
  <si>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</si>
  <si>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</si>
  <si>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</si>
  <si>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</si>
  <si>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</si>
  <si>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</si>
  <si>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</si>
  <si>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</si>
  <si>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</si>
  <si>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</si>
  <si>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</si>
  <si>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生活介護の人件費割合</t>
    </r>
    <r>
      <rPr>
        <sz val="11"/>
        <color rgb="FF000000"/>
        <rFont val="Arial"/>
        <family val="0"/>
        <charset val="1"/>
      </rPr>
      <t xml:space="preserve">(45%</t>
    </r>
    <r>
      <rPr>
        <sz val="11"/>
        <color rgb="FF000000"/>
        <rFont val="WenQuanYi Zen Hei"/>
        <family val="2"/>
      </rPr>
      <t xml:space="preserve">と仮定</t>
    </r>
    <r>
      <rPr>
        <sz val="11"/>
        <color rgb="FF000000"/>
        <rFont val="Arial"/>
        <family val="0"/>
        <charset val="1"/>
      </rPr>
      <t xml:space="preserve">)=</t>
    </r>
    <r>
      <rPr>
        <sz val="11"/>
        <color rgb="FF000000"/>
        <rFont val="WenQuanYi Zen Hei"/>
        <family val="2"/>
      </rPr>
      <t xml:space="preserve">実質</t>
    </r>
    <r>
      <rPr>
        <sz val="11"/>
        <color rgb="FF000000"/>
        <rFont val="Arial"/>
        <family val="0"/>
        <charset val="1"/>
      </rPr>
      <t xml:space="preserve">4.5%</t>
    </r>
    <r>
      <rPr>
        <sz val="11"/>
        <color rgb="FF000000"/>
        <rFont val="WenQuanYi Zen Hei"/>
        <family val="2"/>
      </rPr>
      <t xml:space="preserve">上乗せの概算値。正式な地域区分・人件費割合は広島市提示の単価表で必ず確認。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</si>
  <si>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</si>
  <si>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</si>
  <si>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</si>
  <si>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</si>
  <si>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</si>
  <si>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</si>
  <si>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</si>
  <si>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</si>
  <si>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加算Ⅰ</t>
    </r>
    <r>
      <rPr>
        <sz val="11"/>
        <color rgb="FF000000"/>
        <rFont val="Arial"/>
        <family val="0"/>
        <charset val="1"/>
      </rPr>
      <t xml:space="preserve">)</t>
    </r>
  </si>
  <si>
    <r>
      <rPr>
        <sz val="11"/>
        <color rgb="FF000000"/>
        <rFont val="WenQuanYi Zen Hei"/>
        <family val="2"/>
      </rPr>
      <t xml:space="preserve">基本報酬に対する割合。介護職員等処遇改善加算</t>
    </r>
    <r>
      <rPr>
        <sz val="11"/>
        <color rgb="FF000000"/>
        <rFont val="Arial"/>
        <family val="0"/>
        <charset val="1"/>
      </rPr>
      <t xml:space="preserve">(</t>
    </r>
    <r>
      <rPr>
        <sz val="11"/>
        <color rgb="FF000000"/>
        <rFont val="WenQuanYi Zen Hei"/>
        <family val="2"/>
      </rPr>
      <t xml:space="preserve">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月一本化後</t>
    </r>
    <r>
      <rPr>
        <sz val="11"/>
        <color rgb="FF000000"/>
        <rFont val="Arial"/>
        <family val="0"/>
        <charset val="1"/>
      </rPr>
      <t xml:space="preserve">)</t>
    </r>
    <r>
      <rPr>
        <sz val="11"/>
        <color rgb="FF000000"/>
        <rFont val="WenQuanYi Zen Hei"/>
        <family val="2"/>
      </rPr>
      <t xml:space="preserve">の生活介護 加算Ⅰの水準</t>
    </r>
    <r>
      <rPr>
        <sz val="11"/>
        <color rgb="FF000000"/>
        <rFont val="Arial"/>
        <family val="0"/>
        <charset val="1"/>
      </rPr>
      <t xml:space="preserve">(</t>
    </r>
    <r>
      <rPr>
        <sz val="11"/>
        <color rgb="FF000000"/>
        <rFont val="WenQuanYi Zen Hei"/>
        <family val="2"/>
      </rPr>
      <t xml:space="preserve">概ね</t>
    </r>
    <r>
      <rPr>
        <sz val="11"/>
        <color rgb="FF000000"/>
        <rFont val="Arial"/>
        <family val="0"/>
        <charset val="1"/>
      </rPr>
      <t xml:space="preserve">4.4%)</t>
    </r>
    <r>
      <rPr>
        <sz val="11"/>
        <color rgb="FF000000"/>
        <rFont val="WenQuanYi Zen Hei"/>
        <family val="2"/>
      </rPr>
      <t xml:space="preserve">。加算額は全額を職員の賃金改善に充てる義務があるため、収支計画では同額を人件費側にも計上し損益に中立化している。</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</si>
  <si>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</si>
  <si>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</si>
  <si>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</si>
  <si>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</si>
  <si>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</si>
  <si>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</si>
  <si>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</si>
  <si>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</si>
  <si>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</si>
  <si>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</si>
  <si>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</si>
  <si>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</si>
  <si>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</si>
  <si>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</si>
  <si>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</si>
  <si>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</si>
  <si>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</si>
  <si>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</si>
  <si>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</si>
  <si>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</si>
  <si>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</si>
  <si>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</si>
  <si>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</si>
  <si>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</si>
  <si>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</si>
  <si>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</si>
  <si>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</si>
  <si>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</si>
  <si>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</si>
  <si>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</si>
  <si>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</si>
  <si>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</si>
  <si>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常勤換算・法定福利費込</t>
    </r>
    <r>
      <rPr>
        <b val="true"/>
        <sz val="14"/>
        <rFont val="Arial"/>
        <family val="0"/>
        <charset val="1"/>
      </rPr>
      <t xml:space="preserve">)</t>
    </r>
  </si>
  <si>
    <r>
      <rPr>
        <sz val="11"/>
        <color theme="1"/>
        <rFont val="WenQuanYi Zen Hei"/>
        <family val="2"/>
      </rPr>
      <t xml:space="preserve">看護職員・機能訓練指導員</t>
    </r>
    <r>
      <rPr>
        <sz val="11"/>
        <color theme="1"/>
        <rFont val="Calibri"/>
        <family val="2"/>
        <charset val="1"/>
      </rPr>
      <t xml:space="preserve">(PT/OT)</t>
    </r>
    <r>
      <rPr>
        <sz val="11"/>
        <color theme="1"/>
        <rFont val="WenQuanYi Zen Hei"/>
        <family val="2"/>
      </rPr>
      <t xml:space="preserve">は生活支援員等と兼務させず、必置の独立職種として配置</t>
    </r>
    <r>
      <rPr>
        <sz val="11"/>
        <color theme="1"/>
        <rFont val="Calibri"/>
        <family val="2"/>
        <charset val="1"/>
      </rPr>
      <t xml:space="preserve">(</t>
    </r>
    <r>
      <rPr>
        <sz val="11"/>
        <color theme="1"/>
        <rFont val="WenQuanYi Zen Hei"/>
        <family val="2"/>
      </rPr>
      <t xml:space="preserve">人員基準上、生活支援員への兼務は不可</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</si>
  <si>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</si>
  <si>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</si>
  <si>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</si>
  <si>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</si>
  <si>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</si>
  <si>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t xml:space="preserve">常勤・専従が原則。現場の直接支援に恒常的に入る場合はサビ管の専従性・生活支援員等の必要数への算入可否を広島市の事前相談で要確認</t>
  </si>
  <si>
    <t xml:space="preserve">生活支援員等</t>
  </si>
  <si>
    <r>
      <rPr>
        <sz val="11"/>
        <color rgb="FF000000"/>
        <rFont val="WenQuanYi Zen Hei"/>
        <family val="2"/>
      </rPr>
      <t xml:space="preserve">配置基準</t>
    </r>
    <r>
      <rPr>
        <sz val="11"/>
        <color rgb="FF000000"/>
        <rFont val="Arial"/>
        <family val="0"/>
        <charset val="1"/>
      </rPr>
      <t xml:space="preserve">(3:1</t>
    </r>
    <r>
      <rPr>
        <sz val="11"/>
        <color rgb="FF000000"/>
        <rFont val="WenQuanYi Zen Hei"/>
        <family val="2"/>
      </rPr>
      <t xml:space="preserve">、定員</t>
    </r>
    <r>
      <rPr>
        <sz val="11"/>
        <color rgb="FF000000"/>
        <rFont val="Arial"/>
        <family val="0"/>
        <charset val="1"/>
      </rPr>
      <t xml:space="preserve">×90%</t>
    </r>
    <r>
      <rPr>
        <sz val="11"/>
        <color rgb="FF000000"/>
        <rFont val="WenQuanYi Zen Hei"/>
        <family val="2"/>
      </rPr>
      <t xml:space="preserve">が分母</t>
    </r>
    <r>
      <rPr>
        <sz val="11"/>
        <color rgb="FF000000"/>
        <rFont val="Arial"/>
        <family val="0"/>
        <charset val="1"/>
      </rPr>
      <t xml:space="preserve">)</t>
    </r>
    <r>
      <rPr>
        <sz val="11"/>
        <color rgb="FF000000"/>
        <rFont val="WenQuanYi Zen Hei"/>
        <family val="2"/>
      </rPr>
      <t xml:space="preserve">に基づく必要人数を自動計算。送迎は本人員のシフト内で輪番対応</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</si>
  <si>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</si>
  <si>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以上が必置。非常勤の組み合わせ</t>
    </r>
    <r>
      <rPr>
        <sz val="11"/>
        <color rgb="FF000000"/>
        <rFont val="Arial"/>
        <family val="0"/>
        <charset val="1"/>
      </rPr>
      <t xml:space="preserve">(</t>
    </r>
    <r>
      <rPr>
        <sz val="11"/>
        <color rgb="FF000000"/>
        <rFont val="WenQuanYi Zen Hei"/>
        <family val="2"/>
      </rPr>
      <t xml:space="preserve">例</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3</t>
    </r>
    <r>
      <rPr>
        <sz val="11"/>
        <color rgb="FF000000"/>
        <rFont val="WenQuanYi Zen Hei"/>
        <family val="2"/>
      </rPr>
      <t xml:space="preserve">日</t>
    </r>
    <r>
      <rPr>
        <sz val="11"/>
        <color rgb="FF000000"/>
        <rFont val="Arial"/>
        <family val="0"/>
        <charset val="1"/>
      </rPr>
      <t xml:space="preserve">×2</t>
    </r>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でも常勤換算</t>
    </r>
    <r>
      <rPr>
        <sz val="11"/>
        <color rgb="FF000000"/>
        <rFont val="Arial"/>
        <family val="0"/>
        <charset val="1"/>
      </rPr>
      <t xml:space="preserve">1.0</t>
    </r>
    <r>
      <rPr>
        <sz val="11"/>
        <color rgb="FF000000"/>
        <rFont val="WenQuanYi Zen Hei"/>
        <family val="2"/>
      </rPr>
      <t xml:space="preserve">を満たす設計可</t>
    </r>
  </si>
  <si>
    <r>
      <rPr>
        <sz val="11"/>
        <color rgb="FF000000"/>
        <rFont val="WenQuanYi Zen Hei"/>
        <family val="2"/>
      </rPr>
      <t xml:space="preserve">機能訓練指導員</t>
    </r>
    <r>
      <rPr>
        <sz val="11"/>
        <color rgb="FF000000"/>
        <rFont val="Arial"/>
        <family val="0"/>
        <charset val="1"/>
      </rPr>
      <t xml:space="preserve">(PT/OT</t>
    </r>
    <r>
      <rPr>
        <sz val="11"/>
        <color rgb="FF000000"/>
        <rFont val="WenQuanYi Zen Hei"/>
        <family val="2"/>
      </rPr>
      <t xml:space="preserve">、非常勤</t>
    </r>
    <r>
      <rPr>
        <sz val="11"/>
        <color rgb="FF000000"/>
        <rFont val="Arial"/>
        <family val="0"/>
        <charset val="1"/>
      </rPr>
      <t xml:space="preserve">)</t>
    </r>
  </si>
  <si>
    <r>
      <rPr>
        <sz val="11"/>
        <color rgb="FF000000"/>
        <rFont val="WenQuanYi Zen Hei"/>
        <family val="2"/>
      </rPr>
      <t xml:space="preserve">機能訓練を運営規程に位置付ける場合は配置必須。非常勤</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2</t>
    </r>
    <r>
      <rPr>
        <sz val="11"/>
        <color rgb="FF000000"/>
        <rFont val="WenQuanYi Zen Hei"/>
        <family val="2"/>
      </rPr>
      <t xml:space="preserve">日程度</t>
    </r>
    <r>
      <rPr>
        <sz val="11"/>
        <color rgb="FF000000"/>
        <rFont val="Arial"/>
        <family val="0"/>
        <charset val="1"/>
      </rPr>
      <t xml:space="preserve">)</t>
    </r>
    <r>
      <rPr>
        <sz val="11"/>
        <color rgb="FF000000"/>
        <rFont val="WenQuanYi Zen Hei"/>
        <family val="2"/>
      </rPr>
      <t xml:space="preserve">を想定。機能訓練体制加算の対象可否は要確認</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</si>
  <si>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</si>
  <si>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</si>
  <si>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</si>
  <si>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t xml:space="preserve">生活支援員等のシフト内での輪番対応を基本とし、早朝・夕方帯の割増手当として計上</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</si>
  <si>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</si>
  <si>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</si>
  <si>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</si>
  <si>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</si>
  <si>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</si>
  <si>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</si>
  <si>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</si>
  <si>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</si>
  <si>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</si>
  <si>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</si>
  <si>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</si>
  <si>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</si>
  <si>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</si>
  <si>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</si>
  <si>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</si>
  <si>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</si>
  <si>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</si>
  <si>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</si>
  <si>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</si>
  <si>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</si>
  <si>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t>
    </r>
    <r>
      <rPr>
        <sz val="11"/>
        <color theme="1"/>
        <rFont val="Calibri"/>
        <family val="2"/>
        <charset val="1"/>
      </rPr>
      <t xml:space="preserve">): ①</t>
    </r>
    <r>
      <rPr>
        <sz val="11"/>
        <color theme="1"/>
        <rFont val="WenQuanYi Zen Hei"/>
        <family val="2"/>
      </rPr>
      <t xml:space="preserve">居抜き物件の徹底活用で内装費を圧縮 ②内装・什器の仕様グレードダウン ③自己資金の積み増し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④</t>
    </r>
    <r>
      <rPr>
        <sz val="11"/>
        <color theme="1"/>
        <rFont val="WenQuanYi Zen Hei"/>
        <family val="2"/>
      </rPr>
      <t xml:space="preserve">会長借入の増額交渉 ⑤地方銀行・信用金庫の制度融資の追加活用 ⑥定員</t>
    </r>
    <r>
      <rPr>
        <sz val="11"/>
        <color theme="1"/>
        <rFont val="Calibri"/>
        <family val="2"/>
        <charset val="1"/>
      </rPr>
      <t xml:space="preserve">18</t>
    </r>
    <r>
      <rPr>
        <sz val="11"/>
        <color theme="1"/>
        <rFont val="WenQuanYi Zen Hei"/>
        <family val="2"/>
      </rPr>
      <t xml:space="preserve">名等での小さく開所し、稼働率が安定した段階で定員変更</t>
    </r>
    <r>
      <rPr>
        <sz val="11"/>
        <color theme="1"/>
        <rFont val="Calibri"/>
        <family val="2"/>
        <charset val="1"/>
      </rPr>
      <t xml:space="preserve">(</t>
    </r>
    <r>
      <rPr>
        <sz val="11"/>
        <color theme="1"/>
        <rFont val="WenQuanYi Zen Hei"/>
        <family val="2"/>
      </rPr>
      <t xml:space="preserve">増員</t>
    </r>
    <r>
      <rPr>
        <sz val="11"/>
        <color theme="1"/>
        <rFont val="Calibri"/>
        <family val="2"/>
        <charset val="1"/>
      </rPr>
      <t xml:space="preserve">)</t>
    </r>
    <r>
      <rPr>
        <sz val="11"/>
        <color theme="1"/>
        <rFont val="WenQuanYi Zen Hei"/>
        <family val="2"/>
      </rPr>
      <t xml:space="preserve">を申請する段階的展開も選択肢</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</si>
  <si>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</si>
  <si>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</si>
  <si>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</si>
  <si>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</si>
  <si>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</si>
  <si>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</si>
  <si>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</si>
  <si>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</si>
  <si>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</si>
  <si>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</si>
  <si>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</si>
  <si>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</si>
  <si>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</si>
  <si>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</si>
  <si>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</si>
  <si>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</si>
  <si>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</si>
  <si>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</si>
  <si>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</si>
  <si>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</si>
  <si>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</si>
  <si>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</si>
  <si>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</si>
  <si>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</si>
  <si>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</si>
  <si>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</si>
  <si>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</si>
  <si>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</si>
  <si>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</si>
  <si>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</si>
  <si>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</si>
  <si>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</si>
  <si>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</si>
  <si>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</si>
  <si>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</si>
  <si>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</si>
  <si>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</si>
  <si>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</si>
  <si>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</si>
  <si>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</si>
  <si>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</si>
  <si>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</si>
  <si>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</si>
  <si>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</si>
  <si>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</si>
  <si>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</si>
  <si>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</si>
  <si>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</si>
  <si>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</si>
  <si>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</si>
  <si>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</si>
  <si>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Year1</t>
    </r>
    <r>
      <rPr>
        <sz val="11"/>
        <color rgb="FF000000"/>
        <rFont val="WenQuanYi Zen Hei"/>
        <family val="2"/>
      </rPr>
      <t xml:space="preserve">は月次資金繰りシートの積み上げ平均目安</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</si>
  <si>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</si>
  <si>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</si>
  <si>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</si>
  <si>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</si>
  <si>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</si>
  <si>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</si>
  <si>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</si>
  <si>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</si>
  <si>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</si>
  <si>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</si>
  <si>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</si>
  <si>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法定福利費込、看護・機能訓練指導員含む</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</si>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</sst>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0"/>
    <numFmt numFmtId="169" formatCode="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28.35" hidden="false" customHeight="false" outlineLevel="0" collapsed="false">
      <c r="A10" s="9" t="s">
        <v>36</v>
      </c>
      <c r="B10" s="10" t="n">
        <v>4000000</v>
      </c>
      <c r="C10" s="11" t="s">
        <v>19</v>
      </c>
      <c r="D10" s="12" t="s">
        <v>37</v>
      </c>
    </row>
    <row r="11" customFormat="false" ht="15" hidden="false" customHeight="false" outlineLevel="0" collapsed="false">
      <c r="A11" s="9" t="s">
        <v>38</v>
      </c>
      <c r="B11" s="10" t="n">
        <v>300000</v>
      </c>
      <c r="C11" s="11" t="s">
        <v>39</v>
      </c>
      <c r="D11" s="12" t="s">
        <v>40</v>
      </c>
    </row>
    <row r="12" customFormat="false" ht="15" hidden="false" customHeight="false" outlineLevel="0" collapsed="false">
      <c r="A12" s="9" t="s">
        <v>41</v>
      </c>
      <c r="B12" s="10" t="n">
        <v>2000000</v>
      </c>
      <c r="C12" s="11" t="s">
        <v>42</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33367211.40672</v>
      </c>
      <c r="C14" s="14"/>
      <c r="D14" s="12" t="s">
        <v>46</v>
      </c>
    </row>
    <row r="15" customFormat="false" ht="15" hidden="false" customHeight="false" outlineLevel="0" collapsed="false">
      <c r="A15" s="15" t="s">
        <v>47</v>
      </c>
      <c r="B15" s="16" t="n">
        <f aca="false">SUM(B4:B14)</f>
        <v>64017211.40672</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10.45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41.75" hidden="false" customHeight="false" outlineLevel="0" collapsed="false">
      <c r="A14" s="9" t="s">
        <v>74</v>
      </c>
      <c r="B14" s="23" t="n">
        <v>0.044</v>
      </c>
      <c r="C14" s="12" t="s">
        <v>75</v>
      </c>
    </row>
    <row r="15" customFormat="false" ht="15" hidden="false" customHeight="false" outlineLevel="0" collapsed="false">
      <c r="A15" s="9" t="s">
        <v>76</v>
      </c>
      <c r="B15" s="18" t="n">
        <v>0.5</v>
      </c>
      <c r="C15" s="22" t="s">
        <v>77</v>
      </c>
    </row>
    <row r="16" customFormat="false" ht="15" hidden="false" customHeight="false" outlineLevel="0" collapsed="false">
      <c r="A16" s="9" t="s">
        <v>78</v>
      </c>
      <c r="B16" s="18" t="n">
        <v>2</v>
      </c>
      <c r="C16" s="12" t="s">
        <v>79</v>
      </c>
    </row>
    <row r="17" customFormat="false" ht="15" hidden="false" customHeight="false" outlineLevel="0" collapsed="false">
      <c r="A17" s="9" t="s">
        <v>80</v>
      </c>
      <c r="B17" s="19" t="n">
        <v>40</v>
      </c>
      <c r="C17" s="12" t="s">
        <v>81</v>
      </c>
    </row>
    <row r="18" customFormat="false" ht="28.35" hidden="false" customHeight="false" outlineLevel="0" collapsed="false">
      <c r="A18" s="9" t="s">
        <v>82</v>
      </c>
      <c r="B18" s="21" t="n">
        <v>0.3</v>
      </c>
      <c r="C18" s="22" t="s">
        <v>83</v>
      </c>
    </row>
    <row r="19" customFormat="false" ht="15" hidden="false" customHeight="false" outlineLevel="0" collapsed="false">
      <c r="A19" s="9" t="s">
        <v>84</v>
      </c>
      <c r="B19" s="19" t="n">
        <v>96</v>
      </c>
      <c r="C19" s="12" t="s">
        <v>85</v>
      </c>
    </row>
    <row r="20" customFormat="false" ht="28.35" hidden="false" customHeight="false" outlineLevel="0" collapsed="false">
      <c r="A20" s="9" t="s">
        <v>86</v>
      </c>
      <c r="B20" s="18" t="n">
        <v>250</v>
      </c>
      <c r="C20" s="12" t="s">
        <v>87</v>
      </c>
    </row>
    <row r="21" customFormat="false" ht="15" hidden="false" customHeight="false" outlineLevel="0" collapsed="false">
      <c r="A21" s="9" t="s">
        <v>88</v>
      </c>
      <c r="B21" s="24" t="n">
        <v>400000</v>
      </c>
      <c r="C21" s="12" t="s">
        <v>89</v>
      </c>
    </row>
    <row r="22" customFormat="false" ht="15" hidden="false" customHeight="false" outlineLevel="0" collapsed="false">
      <c r="A22" s="9" t="s">
        <v>90</v>
      </c>
      <c r="B22" s="10" t="n">
        <v>900000</v>
      </c>
      <c r="C22" s="12" t="s">
        <v>91</v>
      </c>
    </row>
    <row r="23" customFormat="false" ht="15" hidden="false" customHeight="false" outlineLevel="0" collapsed="false">
      <c r="A23" s="9" t="s">
        <v>92</v>
      </c>
      <c r="B23" s="25" t="n">
        <f aca="false">SUM(B28:B36)</f>
        <v>4650000</v>
      </c>
      <c r="C23" s="12" t="s">
        <v>93</v>
      </c>
    </row>
    <row r="24" customFormat="false" ht="15" hidden="false" customHeight="false" outlineLevel="0" collapsed="false">
      <c r="A24" s="9" t="s">
        <v>94</v>
      </c>
      <c r="B24" s="13" t="n">
        <f aca="false">初期投資!$B$16</f>
        <v>18500000</v>
      </c>
      <c r="C24" s="12" t="s">
        <v>93</v>
      </c>
    </row>
    <row r="25" customFormat="false" ht="15" hidden="false" customHeight="false" outlineLevel="0" collapsed="false">
      <c r="A25" s="9" t="s">
        <v>95</v>
      </c>
      <c r="B25" s="18" t="n">
        <v>8</v>
      </c>
      <c r="C25" s="12" t="s">
        <v>96</v>
      </c>
    </row>
    <row r="27" customFormat="false" ht="15" hidden="false" customHeight="false" outlineLevel="0" collapsed="false">
      <c r="A27" s="26" t="s">
        <v>97</v>
      </c>
    </row>
    <row r="28" customFormat="false" ht="15" hidden="false" customHeight="false" outlineLevel="0" collapsed="false">
      <c r="A28" s="9" t="s">
        <v>98</v>
      </c>
      <c r="B28" s="10" t="n">
        <v>900000</v>
      </c>
      <c r="C28" s="14"/>
    </row>
    <row r="29" customFormat="false" ht="15" hidden="false" customHeight="false" outlineLevel="0" collapsed="false">
      <c r="A29" s="9" t="s">
        <v>99</v>
      </c>
      <c r="B29" s="10" t="n">
        <v>1500000</v>
      </c>
      <c r="C29" s="14"/>
    </row>
    <row r="30" customFormat="false" ht="15" hidden="false" customHeight="false" outlineLevel="0" collapsed="false">
      <c r="A30" s="9" t="s">
        <v>100</v>
      </c>
      <c r="B30" s="10" t="n">
        <v>400000</v>
      </c>
      <c r="C30" s="14"/>
    </row>
    <row r="31" customFormat="false" ht="15" hidden="false" customHeight="false" outlineLevel="0" collapsed="false">
      <c r="A31" s="9" t="s">
        <v>101</v>
      </c>
      <c r="B31" s="10" t="n">
        <v>600000</v>
      </c>
      <c r="C31" s="14"/>
    </row>
    <row r="32" customFormat="false" ht="15" hidden="false" customHeight="false" outlineLevel="0" collapsed="false">
      <c r="A32" s="9" t="s">
        <v>102</v>
      </c>
      <c r="B32" s="10" t="n">
        <v>200000</v>
      </c>
      <c r="C32" s="14"/>
    </row>
    <row r="33" customFormat="false" ht="15" hidden="false" customHeight="false" outlineLevel="0" collapsed="false">
      <c r="A33" s="9" t="s">
        <v>103</v>
      </c>
      <c r="B33" s="10" t="n">
        <v>300000</v>
      </c>
      <c r="C33" s="14"/>
    </row>
    <row r="34" customFormat="false" ht="15" hidden="false" customHeight="false" outlineLevel="0" collapsed="false">
      <c r="A34" s="9" t="s">
        <v>104</v>
      </c>
      <c r="B34" s="10" t="n">
        <v>250000</v>
      </c>
      <c r="C34" s="14"/>
    </row>
    <row r="35" customFormat="false" ht="15" hidden="false" customHeight="false" outlineLevel="0" collapsed="false">
      <c r="A35" s="9" t="s">
        <v>105</v>
      </c>
      <c r="B35" s="10" t="n">
        <v>100000</v>
      </c>
      <c r="C35" s="14"/>
    </row>
    <row r="36" customFormat="false" ht="15" hidden="false" customHeight="false" outlineLevel="0" collapsed="false">
      <c r="A36" s="9" t="s">
        <v>106</v>
      </c>
      <c r="B36" s="10" t="n">
        <v>400000</v>
      </c>
      <c r="C36" s="14"/>
    </row>
    <row r="37" customFormat="false" ht="15" hidden="false" customHeight="false" outlineLevel="0" collapsed="false">
      <c r="A37" s="9" t="s">
        <v>107</v>
      </c>
      <c r="B37" s="13" t="n">
        <f aca="false">SUM(B28:B36)</f>
        <v>4650000</v>
      </c>
      <c r="C37" s="1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6"/>
  </cols>
  <sheetData>
    <row r="1" customFormat="false" ht="19.4" hidden="false" customHeight="false" outlineLevel="0" collapsed="false">
      <c r="A1" s="8" t="s">
        <v>108</v>
      </c>
      <c r="B1" s="8"/>
      <c r="C1" s="8"/>
      <c r="D1" s="8"/>
      <c r="E1" s="8"/>
    </row>
    <row r="2" customFormat="false" ht="31.5" hidden="false" customHeight="true" outlineLevel="0" collapsed="false">
      <c r="A2" s="7" t="s">
        <v>109</v>
      </c>
      <c r="B2" s="7"/>
      <c r="C2" s="7"/>
      <c r="D2" s="7"/>
      <c r="E2" s="7"/>
    </row>
    <row r="3" customFormat="false" ht="15" hidden="false" customHeight="false" outlineLevel="0" collapsed="false">
      <c r="A3" s="5" t="s">
        <v>110</v>
      </c>
      <c r="B3" s="5" t="s">
        <v>111</v>
      </c>
      <c r="C3" s="5" t="s">
        <v>112</v>
      </c>
      <c r="D3" s="5" t="s">
        <v>113</v>
      </c>
      <c r="E3" s="5" t="s">
        <v>17</v>
      </c>
    </row>
    <row r="4" customFormat="false" ht="41.75" hidden="false" customHeight="false" outlineLevel="0" collapsed="false">
      <c r="A4" s="9" t="s">
        <v>114</v>
      </c>
      <c r="B4" s="18" t="n">
        <v>1</v>
      </c>
      <c r="C4" s="10" t="n">
        <v>4800000</v>
      </c>
      <c r="D4" s="13" t="n">
        <f aca="false">B4*C4</f>
        <v>4800000</v>
      </c>
      <c r="E4" s="12" t="s">
        <v>115</v>
      </c>
    </row>
    <row r="5" customFormat="false" ht="28.35" hidden="false" customHeight="false" outlineLevel="0" collapsed="false">
      <c r="A5" s="9" t="s">
        <v>116</v>
      </c>
      <c r="B5" s="9" t="n">
        <f aca="false">前提条件!$B$8</f>
        <v>6</v>
      </c>
      <c r="C5" s="10" t="n">
        <v>3600000</v>
      </c>
      <c r="D5" s="13" t="n">
        <f aca="false">B5*C5</f>
        <v>21600000</v>
      </c>
      <c r="E5" s="12" t="s">
        <v>117</v>
      </c>
    </row>
    <row r="6" customFormat="false" ht="28.35" hidden="false" customHeight="false" outlineLevel="0" collapsed="false">
      <c r="A6" s="9" t="s">
        <v>118</v>
      </c>
      <c r="B6" s="18" t="n">
        <v>1</v>
      </c>
      <c r="C6" s="10" t="n">
        <v>4200000</v>
      </c>
      <c r="D6" s="13" t="n">
        <f aca="false">B6*C6</f>
        <v>4200000</v>
      </c>
      <c r="E6" s="12" t="s">
        <v>119</v>
      </c>
    </row>
    <row r="7" customFormat="false" ht="28.35" hidden="false" customHeight="false" outlineLevel="0" collapsed="false">
      <c r="A7" s="9" t="s">
        <v>120</v>
      </c>
      <c r="B7" s="18" t="n">
        <v>0.4</v>
      </c>
      <c r="C7" s="10" t="n">
        <v>4200000</v>
      </c>
      <c r="D7" s="13" t="n">
        <f aca="false">B7*C7</f>
        <v>1680000</v>
      </c>
      <c r="E7" s="12" t="s">
        <v>121</v>
      </c>
    </row>
    <row r="8" customFormat="false" ht="15" hidden="false" customHeight="false" outlineLevel="0" collapsed="false">
      <c r="A8" s="9" t="s">
        <v>122</v>
      </c>
      <c r="B8" s="18" t="n">
        <v>0.5</v>
      </c>
      <c r="C8" s="10" t="n">
        <v>3200000</v>
      </c>
      <c r="D8" s="13" t="n">
        <f aca="false">B8*C8</f>
        <v>1600000</v>
      </c>
      <c r="E8" s="12" t="s">
        <v>123</v>
      </c>
    </row>
    <row r="9" customFormat="false" ht="28.35" hidden="false" customHeight="false" outlineLevel="0" collapsed="false">
      <c r="A9" s="9" t="s">
        <v>124</v>
      </c>
      <c r="B9" s="18" t="n">
        <v>1</v>
      </c>
      <c r="C9" s="10" t="n">
        <v>600000</v>
      </c>
      <c r="D9" s="13" t="n">
        <f aca="false">B9*C9</f>
        <v>600000</v>
      </c>
      <c r="E9" s="12" t="s">
        <v>125</v>
      </c>
    </row>
    <row r="10" customFormat="false" ht="15" hidden="false" customHeight="false" outlineLevel="0" collapsed="false">
      <c r="A10" s="15" t="s">
        <v>126</v>
      </c>
      <c r="B10" s="17"/>
      <c r="C10" s="17"/>
      <c r="D10" s="16" t="n">
        <f aca="false">SUM(D4:D9)</f>
        <v>34480000</v>
      </c>
      <c r="E10" s="17"/>
    </row>
    <row r="11" customFormat="false" ht="15" hidden="false" customHeight="false" outlineLevel="0" collapsed="false">
      <c r="A11" s="9" t="s">
        <v>127</v>
      </c>
      <c r="B11" s="14"/>
      <c r="C11" s="14"/>
      <c r="D11" s="13" t="n">
        <f aca="false">D10*0.15</f>
        <v>5172000</v>
      </c>
      <c r="E11" s="14"/>
    </row>
    <row r="12" customFormat="false" ht="15" hidden="false" customHeight="false" outlineLevel="0" collapsed="false">
      <c r="A12" s="15" t="s">
        <v>128</v>
      </c>
      <c r="B12" s="17"/>
      <c r="C12" s="17"/>
      <c r="D12" s="16" t="n">
        <f aca="false">D10+D11</f>
        <v>39652000</v>
      </c>
      <c r="E12" s="17"/>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129</v>
      </c>
      <c r="B1" s="8"/>
      <c r="C1" s="8"/>
    </row>
    <row r="2" customFormat="false" ht="30" hidden="false" customHeight="true" outlineLevel="0" collapsed="false">
      <c r="A2" s="7" t="s">
        <v>130</v>
      </c>
      <c r="B2" s="7"/>
      <c r="C2" s="7"/>
    </row>
    <row r="4" customFormat="false" ht="15" hidden="false" customHeight="false" outlineLevel="0" collapsed="false">
      <c r="A4" s="2" t="s">
        <v>131</v>
      </c>
    </row>
    <row r="5" customFormat="false" ht="15" hidden="false" customHeight="false" outlineLevel="0" collapsed="false">
      <c r="A5" s="27" t="s">
        <v>132</v>
      </c>
      <c r="B5" s="28" t="n">
        <f aca="false">初期投資!$B$15</f>
        <v>64017211.40672</v>
      </c>
    </row>
    <row r="7" customFormat="false" ht="15" hidden="false" customHeight="false" outlineLevel="0" collapsed="false">
      <c r="A7" s="2" t="s">
        <v>133</v>
      </c>
    </row>
    <row r="8" customFormat="false" ht="15" hidden="false" customHeight="false" outlineLevel="0" collapsed="false">
      <c r="A8" s="5" t="s">
        <v>134</v>
      </c>
      <c r="B8" s="5" t="s">
        <v>135</v>
      </c>
      <c r="C8" s="5" t="s">
        <v>17</v>
      </c>
    </row>
    <row r="9" customFormat="false" ht="15" hidden="false" customHeight="false" outlineLevel="0" collapsed="false">
      <c r="A9" s="9" t="s">
        <v>136</v>
      </c>
      <c r="B9" s="24" t="n">
        <v>5000000</v>
      </c>
      <c r="C9" s="12" t="s">
        <v>137</v>
      </c>
    </row>
    <row r="10" customFormat="false" ht="28.35" hidden="false" customHeight="false" outlineLevel="0" collapsed="false">
      <c r="A10" s="9" t="s">
        <v>138</v>
      </c>
      <c r="B10" s="24" t="n">
        <v>15000000</v>
      </c>
      <c r="C10" s="12" t="s">
        <v>139</v>
      </c>
    </row>
    <row r="11" customFormat="false" ht="15" hidden="false" customHeight="false" outlineLevel="0" collapsed="false">
      <c r="A11" s="9" t="s">
        <v>140</v>
      </c>
      <c r="B11" s="24" t="n">
        <v>15000000</v>
      </c>
      <c r="C11" s="12" t="s">
        <v>141</v>
      </c>
    </row>
    <row r="12" customFormat="false" ht="15" hidden="false" customHeight="false" outlineLevel="0" collapsed="false">
      <c r="A12" s="9" t="s">
        <v>142</v>
      </c>
      <c r="B12" s="24" t="n">
        <v>5000000</v>
      </c>
      <c r="C12" s="12" t="s">
        <v>143</v>
      </c>
    </row>
    <row r="13" customFormat="false" ht="15" hidden="false" customHeight="false" outlineLevel="0" collapsed="false">
      <c r="A13" s="15" t="s">
        <v>144</v>
      </c>
      <c r="B13" s="16" t="n">
        <f aca="false">SUM(B9:B12)</f>
        <v>40000000</v>
      </c>
      <c r="C13" s="17"/>
    </row>
    <row r="14" customFormat="false" ht="15" hidden="false" customHeight="false" outlineLevel="0" collapsed="false">
      <c r="A14" s="29" t="s">
        <v>145</v>
      </c>
      <c r="B14" s="30" t="n">
        <f aca="false">B13-B5</f>
        <v>-24017211.40672</v>
      </c>
      <c r="C14" s="14"/>
    </row>
    <row r="16" customFormat="false" ht="60" hidden="false" customHeight="true" outlineLevel="0" collapsed="false">
      <c r="A16" s="7" t="s">
        <v>146</v>
      </c>
      <c r="B16" s="7"/>
      <c r="C16" s="7"/>
    </row>
  </sheetData>
  <mergeCells count="3">
    <mergeCell ref="A1:C1"/>
    <mergeCell ref="A2:C2"/>
    <mergeCell ref="A16:C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147</v>
      </c>
      <c r="B1" s="8"/>
      <c r="C1" s="8"/>
      <c r="D1" s="8"/>
      <c r="E1" s="8"/>
    </row>
    <row r="2" customFormat="false" ht="42" hidden="false" customHeight="true" outlineLevel="0" collapsed="false">
      <c r="A2" s="7" t="s">
        <v>148</v>
      </c>
      <c r="B2" s="7"/>
      <c r="C2" s="7"/>
      <c r="D2" s="7"/>
      <c r="E2" s="7"/>
    </row>
    <row r="4" customFormat="false" ht="15" hidden="false" customHeight="false" outlineLevel="0" collapsed="false">
      <c r="A4" s="2" t="s">
        <v>149</v>
      </c>
    </row>
    <row r="5" customFormat="false" ht="15" hidden="false" customHeight="false" outlineLevel="0" collapsed="false">
      <c r="A5" s="9" t="s">
        <v>150</v>
      </c>
      <c r="B5" s="24" t="n">
        <v>10000000</v>
      </c>
      <c r="C5" s="12" t="s">
        <v>93</v>
      </c>
    </row>
    <row r="6" customFormat="false" ht="15" hidden="false" customHeight="false" outlineLevel="0" collapsed="false">
      <c r="A6" s="9" t="s">
        <v>151</v>
      </c>
      <c r="B6" s="18" t="n">
        <v>1</v>
      </c>
      <c r="C6" s="12" t="s">
        <v>152</v>
      </c>
    </row>
    <row r="7" customFormat="false" ht="15" hidden="false" customHeight="false" outlineLevel="0" collapsed="false">
      <c r="A7" s="9" t="s">
        <v>153</v>
      </c>
      <c r="B7" s="18" t="n">
        <v>5</v>
      </c>
      <c r="C7" s="12" t="s">
        <v>152</v>
      </c>
    </row>
    <row r="8" customFormat="false" ht="41.75" hidden="false" customHeight="false" outlineLevel="0" collapsed="false">
      <c r="A8" s="9" t="s">
        <v>154</v>
      </c>
      <c r="B8" s="23" t="n">
        <v>0.03</v>
      </c>
      <c r="C8" s="22" t="s">
        <v>155</v>
      </c>
    </row>
    <row r="10" customFormat="false" ht="15" hidden="false" customHeight="false" outlineLevel="0" collapsed="false">
      <c r="A10" s="5" t="s">
        <v>156</v>
      </c>
      <c r="B10" s="5" t="s">
        <v>157</v>
      </c>
      <c r="C10" s="5" t="s">
        <v>158</v>
      </c>
      <c r="D10" s="5" t="s">
        <v>159</v>
      </c>
      <c r="E10" s="5" t="s">
        <v>160</v>
      </c>
      <c r="F10" s="5" t="s">
        <v>161</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162</v>
      </c>
      <c r="B17" s="17"/>
      <c r="C17" s="17"/>
      <c r="D17" s="16" t="n">
        <f aca="false">SUM(D11:D16)</f>
        <v>1200000</v>
      </c>
      <c r="E17" s="16" t="n">
        <f aca="false">SUM(E11:E16)</f>
        <v>11200000</v>
      </c>
      <c r="F17" s="17"/>
    </row>
    <row r="19" customFormat="false" ht="15" hidden="false" customHeight="false" outlineLevel="0" collapsed="false">
      <c r="A19" s="2" t="s">
        <v>163</v>
      </c>
    </row>
    <row r="20" customFormat="false" ht="15" hidden="false" customHeight="false" outlineLevel="0" collapsed="false">
      <c r="A20" s="9" t="s">
        <v>150</v>
      </c>
      <c r="B20" s="24" t="n">
        <v>15000000</v>
      </c>
      <c r="C20" s="12" t="s">
        <v>93</v>
      </c>
    </row>
    <row r="21" customFormat="false" ht="15" hidden="false" customHeight="false" outlineLevel="0" collapsed="false">
      <c r="A21" s="9" t="s">
        <v>151</v>
      </c>
      <c r="B21" s="18" t="n">
        <v>1</v>
      </c>
      <c r="C21" s="12" t="s">
        <v>152</v>
      </c>
    </row>
    <row r="22" customFormat="false" ht="15" hidden="false" customHeight="false" outlineLevel="0" collapsed="false">
      <c r="A22" s="9" t="s">
        <v>153</v>
      </c>
      <c r="B22" s="18" t="n">
        <v>6</v>
      </c>
      <c r="C22" s="12" t="s">
        <v>152</v>
      </c>
    </row>
    <row r="23" customFormat="false" ht="41.75" hidden="false" customHeight="false" outlineLevel="0" collapsed="false">
      <c r="A23" s="9" t="s">
        <v>154</v>
      </c>
      <c r="B23" s="23" t="n">
        <v>0.035</v>
      </c>
      <c r="C23" s="22" t="s">
        <v>155</v>
      </c>
    </row>
    <row r="25" customFormat="false" ht="15" hidden="false" customHeight="false" outlineLevel="0" collapsed="false">
      <c r="A25" s="5" t="s">
        <v>156</v>
      </c>
      <c r="B25" s="5" t="s">
        <v>157</v>
      </c>
      <c r="C25" s="5" t="s">
        <v>158</v>
      </c>
      <c r="D25" s="5" t="s">
        <v>159</v>
      </c>
      <c r="E25" s="5" t="s">
        <v>160</v>
      </c>
      <c r="F25" s="5" t="s">
        <v>161</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162</v>
      </c>
      <c r="B33" s="17"/>
      <c r="C33" s="17"/>
      <c r="D33" s="16" t="n">
        <f aca="false">SUM(D26:D32)</f>
        <v>2362500</v>
      </c>
      <c r="E33" s="16" t="n">
        <f aca="false">SUM(E26:E32)</f>
        <v>17362500</v>
      </c>
      <c r="F33" s="17"/>
    </row>
    <row r="35" customFormat="false" ht="69.75" hidden="false" customHeight="true" outlineLevel="0" collapsed="false">
      <c r="A35" s="7" t="s">
        <v>164</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165</v>
      </c>
      <c r="B1" s="8"/>
      <c r="C1" s="8"/>
      <c r="D1" s="8"/>
      <c r="E1" s="8"/>
      <c r="F1" s="8"/>
      <c r="G1" s="8"/>
      <c r="H1" s="8"/>
      <c r="I1" s="8"/>
      <c r="J1" s="8"/>
      <c r="K1" s="8"/>
      <c r="L1" s="8"/>
      <c r="M1" s="8"/>
      <c r="N1" s="8"/>
    </row>
    <row r="2" customFormat="false" ht="31.5" hidden="false" customHeight="true" outlineLevel="0" collapsed="false">
      <c r="A2" s="7" t="s">
        <v>166</v>
      </c>
      <c r="B2" s="7"/>
      <c r="C2" s="7"/>
      <c r="D2" s="7"/>
      <c r="E2" s="7"/>
      <c r="F2" s="7"/>
      <c r="G2" s="7"/>
      <c r="H2" s="7"/>
      <c r="I2" s="7"/>
      <c r="J2" s="7"/>
      <c r="K2" s="7"/>
      <c r="L2" s="7"/>
      <c r="M2" s="7"/>
      <c r="N2" s="7"/>
    </row>
    <row r="4" customFormat="false" ht="15" hidden="false" customHeight="false" outlineLevel="0" collapsed="false">
      <c r="A4" s="5" t="s">
        <v>14</v>
      </c>
      <c r="B4" s="5" t="s">
        <v>167</v>
      </c>
      <c r="C4" s="5" t="s">
        <v>168</v>
      </c>
      <c r="D4" s="5" t="s">
        <v>169</v>
      </c>
      <c r="E4" s="5" t="s">
        <v>170</v>
      </c>
      <c r="F4" s="5" t="s">
        <v>171</v>
      </c>
      <c r="G4" s="5" t="s">
        <v>172</v>
      </c>
      <c r="H4" s="5" t="s">
        <v>173</v>
      </c>
      <c r="I4" s="5" t="s">
        <v>174</v>
      </c>
      <c r="J4" s="5" t="s">
        <v>175</v>
      </c>
      <c r="K4" s="5" t="s">
        <v>176</v>
      </c>
      <c r="L4" s="5" t="s">
        <v>177</v>
      </c>
      <c r="M4" s="5" t="s">
        <v>178</v>
      </c>
    </row>
    <row r="5" customFormat="false" ht="15" hidden="false" customHeight="false" outlineLevel="0" collapsed="false">
      <c r="A5" s="9" t="s">
        <v>179</v>
      </c>
      <c r="B5" s="19" t="n">
        <v>3</v>
      </c>
      <c r="C5" s="19" t="n">
        <v>5</v>
      </c>
      <c r="D5" s="19" t="n">
        <v>7</v>
      </c>
      <c r="E5" s="19" t="n">
        <v>9</v>
      </c>
      <c r="F5" s="19" t="n">
        <v>10</v>
      </c>
      <c r="G5" s="19" t="n">
        <v>11</v>
      </c>
      <c r="H5" s="19" t="n">
        <v>12</v>
      </c>
      <c r="I5" s="19" t="n">
        <v>13</v>
      </c>
      <c r="J5" s="19" t="n">
        <v>13</v>
      </c>
      <c r="K5" s="19" t="n">
        <v>14</v>
      </c>
      <c r="L5" s="19" t="n">
        <v>14</v>
      </c>
      <c r="M5" s="19" t="n">
        <v>15</v>
      </c>
    </row>
    <row r="6" customFormat="false" ht="15" hidden="false" customHeight="false" outlineLevel="0" collapsed="false">
      <c r="A6" s="9" t="s">
        <v>180</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181</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182</v>
      </c>
      <c r="B8" s="31" t="n">
        <f aca="false">B5*B6</f>
        <v>2.4</v>
      </c>
      <c r="C8" s="31" t="n">
        <f aca="false">C5*C6</f>
        <v>4</v>
      </c>
      <c r="D8" s="31" t="n">
        <f aca="false">D5*D6</f>
        <v>5.6</v>
      </c>
      <c r="E8" s="31" t="n">
        <f aca="false">E5*E6</f>
        <v>7.2</v>
      </c>
      <c r="F8" s="31" t="n">
        <f aca="false">F5*F6</f>
        <v>8</v>
      </c>
      <c r="G8" s="31" t="n">
        <f aca="false">G5*G6</f>
        <v>8.8</v>
      </c>
      <c r="H8" s="31" t="n">
        <f aca="false">H5*H6</f>
        <v>9.6</v>
      </c>
      <c r="I8" s="31" t="n">
        <f aca="false">I5*I6</f>
        <v>10.4</v>
      </c>
      <c r="J8" s="31" t="n">
        <f aca="false">J5*J6</f>
        <v>10.4</v>
      </c>
      <c r="K8" s="31" t="n">
        <f aca="false">K5*K6</f>
        <v>11.2</v>
      </c>
      <c r="L8" s="31" t="n">
        <f aca="false">L5*L6</f>
        <v>11.2</v>
      </c>
      <c r="M8" s="31" t="n">
        <f aca="false">M5*M6</f>
        <v>12</v>
      </c>
    </row>
    <row r="9" customFormat="false" ht="15" hidden="false" customHeight="false" outlineLevel="0" collapsed="false">
      <c r="A9" s="9" t="s">
        <v>183</v>
      </c>
      <c r="B9" s="32" t="n">
        <f aca="false">B8/前提条件!$B$3</f>
        <v>0.12</v>
      </c>
      <c r="C9" s="32" t="n">
        <f aca="false">C8/前提条件!$B$3</f>
        <v>0.2</v>
      </c>
      <c r="D9" s="32" t="n">
        <f aca="false">D8/前提条件!$B$3</f>
        <v>0.28</v>
      </c>
      <c r="E9" s="32" t="n">
        <f aca="false">E8/前提条件!$B$3</f>
        <v>0.36</v>
      </c>
      <c r="F9" s="32" t="n">
        <f aca="false">F8/前提条件!$B$3</f>
        <v>0.4</v>
      </c>
      <c r="G9" s="32" t="n">
        <f aca="false">G8/前提条件!$B$3</f>
        <v>0.44</v>
      </c>
      <c r="H9" s="32" t="n">
        <f aca="false">H8/前提条件!$B$3</f>
        <v>0.48</v>
      </c>
      <c r="I9" s="32" t="n">
        <f aca="false">I8/前提条件!$B$3</f>
        <v>0.52</v>
      </c>
      <c r="J9" s="32" t="n">
        <f aca="false">J8/前提条件!$B$3</f>
        <v>0.52</v>
      </c>
      <c r="K9" s="32" t="n">
        <f aca="false">K8/前提条件!$B$3</f>
        <v>0.56</v>
      </c>
      <c r="L9" s="32" t="n">
        <f aca="false">L8/前提条件!$B$3</f>
        <v>0.56</v>
      </c>
      <c r="M9" s="32" t="n">
        <f aca="false">M8/前提条件!$B$3</f>
        <v>0.6</v>
      </c>
    </row>
    <row r="10" customFormat="false" ht="15" hidden="false" customHeight="false" outlineLevel="0" collapsed="false">
      <c r="A10" s="11" t="s">
        <v>184</v>
      </c>
      <c r="B10" s="13" t="n">
        <f aca="false">前提条件!$B$5*前提条件!$B$9+前提条件!$B$13*(前提条件!$B$10+前提条件!$B$12*前提条件!$B$11)*前提条件!$B$9+前提条件!$B$5*前提条件!$B$9*前提条件!$B$14</f>
        <v>10926.6872</v>
      </c>
      <c r="C10" s="13" t="n">
        <f aca="false">前提条件!$B$5*前提条件!$B$9+前提条件!$B$13*(前提条件!$B$10+前提条件!$B$12*前提条件!$B$11)*前提条件!$B$9+前提条件!$B$5*前提条件!$B$9*前提条件!$B$14</f>
        <v>10926.6872</v>
      </c>
      <c r="D10" s="13" t="n">
        <f aca="false">前提条件!$B$5*前提条件!$B$9+前提条件!$B$13*(前提条件!$B$10+前提条件!$B$12*前提条件!$B$11)*前提条件!$B$9+前提条件!$B$5*前提条件!$B$9*前提条件!$B$14</f>
        <v>10926.6872</v>
      </c>
      <c r="E10" s="13" t="n">
        <f aca="false">前提条件!$B$5*前提条件!$B$9+前提条件!$B$13*(前提条件!$B$10+前提条件!$B$12*前提条件!$B$11)*前提条件!$B$9+前提条件!$B$5*前提条件!$B$9*前提条件!$B$14</f>
        <v>10926.6872</v>
      </c>
      <c r="F10" s="13" t="n">
        <f aca="false">前提条件!$B$5*前提条件!$B$9+前提条件!$B$13*(前提条件!$B$10+前提条件!$B$12*前提条件!$B$11)*前提条件!$B$9+前提条件!$B$5*前提条件!$B$9*前提条件!$B$14</f>
        <v>10926.6872</v>
      </c>
      <c r="G10" s="13" t="n">
        <f aca="false">前提条件!$B$5*前提条件!$B$9+前提条件!$B$13*(前提条件!$B$10+前提条件!$B$12*前提条件!$B$11)*前提条件!$B$9+前提条件!$B$5*前提条件!$B$9*前提条件!$B$14</f>
        <v>10926.6872</v>
      </c>
      <c r="H10" s="13" t="n">
        <f aca="false">前提条件!$B$5*前提条件!$B$9+前提条件!$B$13*(前提条件!$B$10+前提条件!$B$12*前提条件!$B$11)*前提条件!$B$9+前提条件!$B$5*前提条件!$B$9*前提条件!$B$14</f>
        <v>10926.6872</v>
      </c>
      <c r="I10" s="13" t="n">
        <f aca="false">前提条件!$B$5*前提条件!$B$9+前提条件!$B$13*(前提条件!$B$10+前提条件!$B$12*前提条件!$B$11)*前提条件!$B$9+前提条件!$B$5*前提条件!$B$9*前提条件!$B$14</f>
        <v>10926.6872</v>
      </c>
      <c r="J10" s="13" t="n">
        <f aca="false">前提条件!$B$5*前提条件!$B$9+前提条件!$B$13*(前提条件!$B$10+前提条件!$B$12*前提条件!$B$11)*前提条件!$B$9+前提条件!$B$5*前提条件!$B$9*前提条件!$B$14</f>
        <v>10926.6872</v>
      </c>
      <c r="K10" s="13" t="n">
        <f aca="false">前提条件!$B$5*前提条件!$B$9+前提条件!$B$13*(前提条件!$B$10+前提条件!$B$12*前提条件!$B$11)*前提条件!$B$9+前提条件!$B$5*前提条件!$B$9*前提条件!$B$14</f>
        <v>10926.6872</v>
      </c>
      <c r="L10" s="13" t="n">
        <f aca="false">前提条件!$B$5*前提条件!$B$9+前提条件!$B$13*(前提条件!$B$10+前提条件!$B$12*前提条件!$B$11)*前提条件!$B$9+前提条件!$B$5*前提条件!$B$9*前提条件!$B$14</f>
        <v>10926.6872</v>
      </c>
      <c r="M10" s="13" t="n">
        <f aca="false">前提条件!$B$5*前提条件!$B$9+前提条件!$B$13*(前提条件!$B$10+前提条件!$B$12*前提条件!$B$11)*前提条件!$B$9+前提条件!$B$5*前提条件!$B$9*前提条件!$B$14</f>
        <v>10926.6872</v>
      </c>
    </row>
    <row r="11" customFormat="false" ht="15" hidden="false" customHeight="false" outlineLevel="0" collapsed="false">
      <c r="A11" s="9" t="s">
        <v>185</v>
      </c>
      <c r="B11" s="13" t="n">
        <f aca="false">B8*B10*B7</f>
        <v>550705.03488</v>
      </c>
      <c r="C11" s="13" t="n">
        <f aca="false">C8*C10*C7</f>
        <v>917841.7248</v>
      </c>
      <c r="D11" s="13" t="n">
        <f aca="false">D8*D10*D7</f>
        <v>1284978.41472</v>
      </c>
      <c r="E11" s="13" t="n">
        <f aca="false">E8*E10*E7</f>
        <v>1652115.10464</v>
      </c>
      <c r="F11" s="13" t="n">
        <f aca="false">F8*F10*F7</f>
        <v>1835683.4496</v>
      </c>
      <c r="G11" s="13" t="n">
        <f aca="false">G8*G10*G7</f>
        <v>2019251.79456</v>
      </c>
      <c r="H11" s="13" t="n">
        <f aca="false">H8*H10*H7</f>
        <v>2202820.13952</v>
      </c>
      <c r="I11" s="13" t="n">
        <f aca="false">I8*I10*I7</f>
        <v>2386388.48448</v>
      </c>
      <c r="J11" s="13" t="n">
        <f aca="false">J8*J10*J7</f>
        <v>1704563.2032</v>
      </c>
      <c r="K11" s="13" t="n">
        <f aca="false">K8*K10*K7</f>
        <v>2080441.24288</v>
      </c>
      <c r="L11" s="13" t="n">
        <f aca="false">L8*L10*L7</f>
        <v>2569956.82944</v>
      </c>
      <c r="M11" s="13" t="n">
        <f aca="false">M8*M10*M7</f>
        <v>2753525.1744</v>
      </c>
    </row>
    <row r="12" customFormat="false" ht="15" hidden="false" customHeight="false" outlineLevel="0" collapsed="false">
      <c r="A12" s="9" t="s">
        <v>186</v>
      </c>
      <c r="B12" s="13" t="n">
        <v>0</v>
      </c>
      <c r="C12" s="13" t="n">
        <v>0</v>
      </c>
      <c r="D12" s="13" t="n">
        <f aca="false">B11</f>
        <v>550705.03488</v>
      </c>
      <c r="E12" s="13" t="n">
        <f aca="false">C11</f>
        <v>917841.7248</v>
      </c>
      <c r="F12" s="13" t="n">
        <f aca="false">D11</f>
        <v>1284978.41472</v>
      </c>
      <c r="G12" s="13" t="n">
        <f aca="false">E11</f>
        <v>1652115.10464</v>
      </c>
      <c r="H12" s="13" t="n">
        <f aca="false">F11</f>
        <v>1835683.4496</v>
      </c>
      <c r="I12" s="13" t="n">
        <f aca="false">G11</f>
        <v>2019251.79456</v>
      </c>
      <c r="J12" s="13" t="n">
        <f aca="false">H11</f>
        <v>2202820.13952</v>
      </c>
      <c r="K12" s="13" t="n">
        <f aca="false">I11</f>
        <v>2386388.48448</v>
      </c>
      <c r="L12" s="13" t="n">
        <f aca="false">J11</f>
        <v>1704563.2032</v>
      </c>
      <c r="M12" s="13" t="n">
        <f aca="false">K11</f>
        <v>2080441.24288</v>
      </c>
    </row>
    <row r="13" customFormat="false" ht="15" hidden="false" customHeight="false" outlineLevel="0" collapsed="false">
      <c r="A13" s="9" t="s">
        <v>187</v>
      </c>
      <c r="B13" s="13" t="n">
        <f aca="false">人件費!$D$12/12+前提条件!$B$21+前提条件!$B$23/12+前提条件!$B$22/12</f>
        <v>4166833.33333333</v>
      </c>
      <c r="C13" s="13" t="n">
        <f aca="false">人件費!$D$12/12+前提条件!$B$21+前提条件!$B$23/12+前提条件!$B$22/12</f>
        <v>4166833.33333333</v>
      </c>
      <c r="D13" s="13" t="n">
        <f aca="false">人件費!$D$12/12+前提条件!$B$21+前提条件!$B$23/12+前提条件!$B$22/12</f>
        <v>4166833.33333333</v>
      </c>
      <c r="E13" s="13" t="n">
        <f aca="false">人件費!$D$12/12+前提条件!$B$21+前提条件!$B$23/12+前提条件!$B$22/12</f>
        <v>4166833.33333333</v>
      </c>
      <c r="F13" s="13" t="n">
        <f aca="false">人件費!$D$12/12+前提条件!$B$21+前提条件!$B$23/12+前提条件!$B$22/12</f>
        <v>4166833.33333333</v>
      </c>
      <c r="G13" s="13" t="n">
        <f aca="false">人件費!$D$12/12+前提条件!$B$21+前提条件!$B$23/12+前提条件!$B$22/12</f>
        <v>4166833.33333333</v>
      </c>
      <c r="H13" s="13" t="n">
        <f aca="false">人件費!$D$12/12+前提条件!$B$21+前提条件!$B$23/12+前提条件!$B$22/12</f>
        <v>4166833.33333333</v>
      </c>
      <c r="I13" s="13" t="n">
        <f aca="false">人件費!$D$12/12+前提条件!$B$21+前提条件!$B$23/12+前提条件!$B$22/12</f>
        <v>4166833.33333333</v>
      </c>
      <c r="J13" s="13" t="n">
        <f aca="false">人件費!$D$12/12+前提条件!$B$21+前提条件!$B$23/12+前提条件!$B$22/12</f>
        <v>4166833.33333333</v>
      </c>
      <c r="K13" s="13" t="n">
        <f aca="false">人件費!$D$12/12+前提条件!$B$21+前提条件!$B$23/12+前提条件!$B$22/12</f>
        <v>4166833.33333333</v>
      </c>
      <c r="L13" s="13" t="n">
        <f aca="false">人件費!$D$12/12+前提条件!$B$21+前提条件!$B$23/12+前提条件!$B$22/12</f>
        <v>4166833.33333333</v>
      </c>
      <c r="M13" s="13" t="n">
        <f aca="false">人件費!$D$12/12+前提条件!$B$21+前提条件!$B$23/12+前提条件!$B$22/12</f>
        <v>4166833.33333333</v>
      </c>
    </row>
    <row r="14" customFormat="false" ht="15" hidden="false" customHeight="false" outlineLevel="0" collapsed="false">
      <c r="A14" s="29" t="s">
        <v>188</v>
      </c>
      <c r="B14" s="16" t="n">
        <f aca="false">B12-B13</f>
        <v>-4166833.33333333</v>
      </c>
      <c r="C14" s="16" t="n">
        <f aca="false">C12-C13</f>
        <v>-4166833.33333333</v>
      </c>
      <c r="D14" s="16" t="n">
        <f aca="false">D12-D13</f>
        <v>-3616128.29845333</v>
      </c>
      <c r="E14" s="16" t="n">
        <f aca="false">E12-E13</f>
        <v>-3248991.60853333</v>
      </c>
      <c r="F14" s="16" t="n">
        <f aca="false">F12-F13</f>
        <v>-2881854.91861333</v>
      </c>
      <c r="G14" s="16" t="n">
        <f aca="false">G12-G13</f>
        <v>-2514718.22869333</v>
      </c>
      <c r="H14" s="16" t="n">
        <f aca="false">H12-H13</f>
        <v>-2331149.88373333</v>
      </c>
      <c r="I14" s="16" t="n">
        <f aca="false">I12-I13</f>
        <v>-2147581.53877333</v>
      </c>
      <c r="J14" s="16" t="n">
        <f aca="false">J12-J13</f>
        <v>-1964013.19381333</v>
      </c>
      <c r="K14" s="16" t="n">
        <f aca="false">K12-K13</f>
        <v>-1780444.84885333</v>
      </c>
      <c r="L14" s="16" t="n">
        <f aca="false">L12-L13</f>
        <v>-2462270.13013333</v>
      </c>
      <c r="M14" s="16" t="n">
        <f aca="false">M12-M13</f>
        <v>-2086392.09045333</v>
      </c>
    </row>
    <row r="15" customFormat="false" ht="15" hidden="false" customHeight="false" outlineLevel="0" collapsed="false">
      <c r="A15" s="29" t="s">
        <v>189</v>
      </c>
      <c r="B15" s="30" t="n">
        <f aca="false">B14</f>
        <v>-4166833.33333333</v>
      </c>
      <c r="C15" s="30" t="n">
        <f aca="false">B15+C14</f>
        <v>-8333666.66666667</v>
      </c>
      <c r="D15" s="30" t="n">
        <f aca="false">C15+D14</f>
        <v>-11949794.96512</v>
      </c>
      <c r="E15" s="30" t="n">
        <f aca="false">D15+E14</f>
        <v>-15198786.5736533</v>
      </c>
      <c r="F15" s="30" t="n">
        <f aca="false">E15+F14</f>
        <v>-18080641.4922667</v>
      </c>
      <c r="G15" s="30" t="n">
        <f aca="false">F15+G14</f>
        <v>-20595359.72096</v>
      </c>
      <c r="H15" s="30" t="n">
        <f aca="false">G15+H14</f>
        <v>-22926509.6046933</v>
      </c>
      <c r="I15" s="30" t="n">
        <f aca="false">H15+I14</f>
        <v>-25074091.1434667</v>
      </c>
      <c r="J15" s="30" t="n">
        <f aca="false">I15+J14</f>
        <v>-27038104.33728</v>
      </c>
      <c r="K15" s="30" t="n">
        <f aca="false">J15+K14</f>
        <v>-28818549.1861333</v>
      </c>
      <c r="L15" s="30" t="n">
        <f aca="false">K15+L14</f>
        <v>-31280819.3162667</v>
      </c>
      <c r="M15" s="30" t="n">
        <f aca="false">L15+M14</f>
        <v>-33367211.40672</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26" t="s">
        <v>190</v>
      </c>
      <c r="B17" s="33" t="n">
        <f aca="false">MIN(B15:M15)</f>
        <v>-33367211.40672</v>
      </c>
      <c r="C17" s="7" t="s">
        <v>191</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34" t="s">
        <v>192</v>
      </c>
      <c r="B1" s="34"/>
      <c r="C1" s="34"/>
      <c r="D1" s="34"/>
      <c r="E1" s="34"/>
      <c r="F1" s="34"/>
    </row>
    <row r="2" customFormat="false" ht="15" hidden="false" customHeight="false" outlineLevel="0" collapsed="false">
      <c r="A2" s="5" t="s">
        <v>14</v>
      </c>
      <c r="B2" s="35" t="s">
        <v>193</v>
      </c>
      <c r="C2" s="35" t="s">
        <v>194</v>
      </c>
      <c r="D2" s="35" t="s">
        <v>195</v>
      </c>
      <c r="E2" s="35" t="s">
        <v>196</v>
      </c>
      <c r="F2" s="35" t="s">
        <v>197</v>
      </c>
    </row>
    <row r="3" customFormat="false" ht="15" hidden="false" customHeight="false" outlineLevel="0" collapsed="false">
      <c r="A3" s="9" t="s">
        <v>198</v>
      </c>
      <c r="B3" s="23" t="n">
        <v>0.35</v>
      </c>
      <c r="C3" s="23" t="n">
        <v>0.65</v>
      </c>
      <c r="D3" s="23" t="n">
        <v>0.8</v>
      </c>
      <c r="E3" s="23" t="n">
        <v>0.85</v>
      </c>
      <c r="F3" s="23" t="n">
        <v>0.85</v>
      </c>
    </row>
    <row r="4" customFormat="false" ht="15" hidden="false" customHeight="false" outlineLevel="0" collapsed="false">
      <c r="A4" s="9" t="s">
        <v>199</v>
      </c>
      <c r="B4" s="31" t="n">
        <f aca="false">前提条件!$B$3*B3</f>
        <v>7</v>
      </c>
      <c r="C4" s="31" t="n">
        <f aca="false">前提条件!$B$3*C3</f>
        <v>13</v>
      </c>
      <c r="D4" s="31" t="n">
        <f aca="false">前提条件!$B$3*D3</f>
        <v>16</v>
      </c>
      <c r="E4" s="31" t="n">
        <f aca="false">前提条件!$B$3*E3</f>
        <v>17</v>
      </c>
      <c r="F4" s="31" t="n">
        <f aca="false">前提条件!$B$3*F3</f>
        <v>17</v>
      </c>
    </row>
    <row r="5" customFormat="false" ht="15" hidden="false" customHeight="false" outlineLevel="0" collapsed="false">
      <c r="A5" s="9" t="s">
        <v>200</v>
      </c>
      <c r="B5" s="36" t="n">
        <f aca="false">前提条件!$B$20</f>
        <v>250</v>
      </c>
      <c r="C5" s="36" t="n">
        <f aca="false">前提条件!$B$20</f>
        <v>250</v>
      </c>
      <c r="D5" s="36" t="n">
        <f aca="false">前提条件!$B$20</f>
        <v>250</v>
      </c>
      <c r="E5" s="36" t="n">
        <f aca="false">前提条件!$B$20</f>
        <v>250</v>
      </c>
      <c r="F5" s="36" t="n">
        <f aca="false">前提条件!$B$20</f>
        <v>250</v>
      </c>
    </row>
    <row r="6" customFormat="false" ht="14.9" hidden="false" customHeight="false" outlineLevel="0" collapsed="false">
      <c r="A6" s="9" t="s">
        <v>201</v>
      </c>
      <c r="B6" s="13" t="n">
        <f aca="false">前提条件!$B$5*前提条件!$B$9</f>
        <v>10073.8</v>
      </c>
      <c r="C6" s="13" t="n">
        <f aca="false">前提条件!$B$5*前提条件!$B$9</f>
        <v>10073.8</v>
      </c>
      <c r="D6" s="13" t="n">
        <f aca="false">前提条件!$B$5*前提条件!$B$9</f>
        <v>10073.8</v>
      </c>
      <c r="E6" s="13" t="n">
        <f aca="false">前提条件!$B$5*前提条件!$B$9</f>
        <v>10073.8</v>
      </c>
      <c r="F6" s="13" t="n">
        <f aca="false">前提条件!$B$5*前提条件!$B$9</f>
        <v>10073.8</v>
      </c>
    </row>
    <row r="7" customFormat="false" ht="15" hidden="false" customHeight="false" outlineLevel="0" collapsed="false">
      <c r="A7" s="14"/>
      <c r="B7" s="14"/>
      <c r="C7" s="14"/>
      <c r="D7" s="14"/>
      <c r="E7" s="14"/>
      <c r="F7" s="14"/>
    </row>
    <row r="8" customFormat="false" ht="15" hidden="false" customHeight="false" outlineLevel="0" collapsed="false">
      <c r="A8" s="29" t="s">
        <v>202</v>
      </c>
      <c r="B8" s="14"/>
      <c r="C8" s="14"/>
      <c r="D8" s="14"/>
      <c r="E8" s="14"/>
      <c r="F8" s="14"/>
    </row>
    <row r="9" customFormat="false" ht="15" hidden="false" customHeight="false" outlineLevel="0" collapsed="false">
      <c r="A9" s="9" t="s">
        <v>203</v>
      </c>
      <c r="B9" s="13" t="n">
        <f aca="false">B4*B6*B5</f>
        <v>17629150</v>
      </c>
      <c r="C9" s="13" t="n">
        <f aca="false">C4*C6*C5</f>
        <v>32739850</v>
      </c>
      <c r="D9" s="13" t="n">
        <f aca="false">D4*D6*D5</f>
        <v>40295200</v>
      </c>
      <c r="E9" s="13" t="n">
        <f aca="false">E4*E6*E5</f>
        <v>42813650</v>
      </c>
      <c r="F9" s="13" t="n">
        <f aca="false">F4*F6*F5</f>
        <v>42813650</v>
      </c>
    </row>
    <row r="10" customFormat="false" ht="14.9" hidden="false" customHeight="false" outlineLevel="0" collapsed="false">
      <c r="A10" s="9" t="s">
        <v>204</v>
      </c>
      <c r="B10" s="13" t="n">
        <f aca="false">B4*前提条件!$B$13*((前提条件!$B$10+前提条件!$B$12*前提条件!$B$11)*2)*前提条件!$B$9*B5</f>
        <v>1433740</v>
      </c>
      <c r="C10" s="13" t="n">
        <f aca="false">C4*前提条件!$B$13*((前提条件!$B$10+前提条件!$B$12*前提条件!$B$11)*2)*前提条件!$B$9*C5</f>
        <v>2662660</v>
      </c>
      <c r="D10" s="13" t="n">
        <f aca="false">D4*前提条件!$B$13*((前提条件!$B$10+前提条件!$B$12*前提条件!$B$11)*2)*前提条件!$B$9*D5</f>
        <v>3277120</v>
      </c>
      <c r="E10" s="13" t="n">
        <f aca="false">E4*前提条件!$B$13*((前提条件!$B$10+前提条件!$B$12*前提条件!$B$11)*2)*前提条件!$B$9*E5</f>
        <v>3481940</v>
      </c>
      <c r="F10" s="13" t="n">
        <f aca="false">F4*前提条件!$B$13*((前提条件!$B$10+前提条件!$B$12*前提条件!$B$11)*2)*前提条件!$B$9*F5</f>
        <v>3481940</v>
      </c>
    </row>
    <row r="11" customFormat="false" ht="14.9" hidden="false" customHeight="false" outlineLevel="0" collapsed="false">
      <c r="A11" s="9" t="s">
        <v>205</v>
      </c>
      <c r="B11" s="13" t="n">
        <f aca="false">B9*前提条件!$B$14</f>
        <v>775682.6</v>
      </c>
      <c r="C11" s="13" t="n">
        <f aca="false">C9*前提条件!$B$14</f>
        <v>1440553.4</v>
      </c>
      <c r="D11" s="13" t="n">
        <f aca="false">D9*前提条件!$B$14</f>
        <v>1772988.8</v>
      </c>
      <c r="E11" s="13" t="n">
        <f aca="false">E9*前提条件!$B$14</f>
        <v>1883800.6</v>
      </c>
      <c r="F11" s="13" t="n">
        <f aca="false">F9*前提条件!$B$14</f>
        <v>1883800.6</v>
      </c>
    </row>
    <row r="12" customFormat="false" ht="15" hidden="false" customHeight="false" outlineLevel="0" collapsed="false">
      <c r="A12" s="9" t="s">
        <v>206</v>
      </c>
      <c r="B12" s="13" t="n">
        <f aca="false">B4*前提条件!$B$15*前提条件!$B$16*(前提条件!$B$20/5)*前提条件!$B$17*前提条件!$B$9</f>
        <v>146300</v>
      </c>
      <c r="C12" s="13" t="n">
        <f aca="false">C4*前提条件!$B$15*前提条件!$B$16*(前提条件!$B$20/5)*前提条件!$B$17*前提条件!$B$9</f>
        <v>271700</v>
      </c>
      <c r="D12" s="13" t="n">
        <f aca="false">D4*前提条件!$B$15*前提条件!$B$16*(前提条件!$B$20/5)*前提条件!$B$17*前提条件!$B$9</f>
        <v>334400</v>
      </c>
      <c r="E12" s="13" t="n">
        <f aca="false">E4*前提条件!$B$15*前提条件!$B$16*(前提条件!$B$20/5)*前提条件!$B$17*前提条件!$B$9</f>
        <v>355300</v>
      </c>
      <c r="F12" s="13" t="n">
        <f aca="false">F4*前提条件!$B$15*前提条件!$B$16*(前提条件!$B$20/5)*前提条件!$B$17*前提条件!$B$9</f>
        <v>355300</v>
      </c>
    </row>
    <row r="13" customFormat="false" ht="14.9" hidden="false" customHeight="false" outlineLevel="0" collapsed="false">
      <c r="A13" s="9" t="s">
        <v>207</v>
      </c>
      <c r="B13" s="13" t="n">
        <f aca="false">B4*前提条件!$B$18*前提条件!$B$19*前提条件!$B$9*B5</f>
        <v>526680</v>
      </c>
      <c r="C13" s="13" t="n">
        <f aca="false">C4*前提条件!$B$18*前提条件!$B$19*前提条件!$B$9*C5</f>
        <v>978120</v>
      </c>
      <c r="D13" s="13" t="n">
        <f aca="false">D4*前提条件!$B$18*前提条件!$B$19*前提条件!$B$9*D5</f>
        <v>1203840</v>
      </c>
      <c r="E13" s="13" t="n">
        <f aca="false">E4*前提条件!$B$18*前提条件!$B$19*前提条件!$B$9*E5</f>
        <v>1279080</v>
      </c>
      <c r="F13" s="13" t="n">
        <f aca="false">F4*前提条件!$B$18*前提条件!$B$19*前提条件!$B$9*F5</f>
        <v>1279080</v>
      </c>
    </row>
    <row r="14" customFormat="false" ht="15" hidden="false" customHeight="false" outlineLevel="0" collapsed="false">
      <c r="A14" s="29" t="s">
        <v>208</v>
      </c>
      <c r="B14" s="16" t="n">
        <f aca="false">SUM(B9:B13)</f>
        <v>20511552.6</v>
      </c>
      <c r="C14" s="16" t="n">
        <f aca="false">SUM(C9:C13)</f>
        <v>38092883.4</v>
      </c>
      <c r="D14" s="16" t="n">
        <f aca="false">SUM(D9:D13)</f>
        <v>46883548.8</v>
      </c>
      <c r="E14" s="16" t="n">
        <f aca="false">SUM(E9:E13)</f>
        <v>49813770.6</v>
      </c>
      <c r="F14" s="16" t="n">
        <f aca="false">SUM(F9:F13)</f>
        <v>49813770.6</v>
      </c>
    </row>
    <row r="15" customFormat="false" ht="15" hidden="false" customHeight="false" outlineLevel="0" collapsed="false">
      <c r="A15" s="14"/>
      <c r="B15" s="14"/>
      <c r="C15" s="14"/>
      <c r="D15" s="14"/>
      <c r="E15" s="14"/>
      <c r="F15" s="14"/>
    </row>
    <row r="16" customFormat="false" ht="15" hidden="false" customHeight="false" outlineLevel="0" collapsed="false">
      <c r="A16" s="29" t="s">
        <v>209</v>
      </c>
      <c r="B16" s="14"/>
      <c r="C16" s="14"/>
      <c r="D16" s="14"/>
      <c r="E16" s="14"/>
      <c r="F16" s="14"/>
    </row>
    <row r="17" customFormat="false" ht="14.9" hidden="false" customHeight="false" outlineLevel="0" collapsed="false">
      <c r="A17" s="9" t="s">
        <v>210</v>
      </c>
      <c r="B17" s="13" t="n">
        <f aca="false">人件費!$D$12</f>
        <v>39652000</v>
      </c>
      <c r="C17" s="13" t="n">
        <f aca="false">人件費!$D$12</f>
        <v>39652000</v>
      </c>
      <c r="D17" s="13" t="n">
        <f aca="false">人件費!$D$12</f>
        <v>39652000</v>
      </c>
      <c r="E17" s="13" t="n">
        <f aca="false">人件費!$D$12</f>
        <v>39652000</v>
      </c>
      <c r="F17" s="13" t="n">
        <f aca="false">人件費!$D$12</f>
        <v>39652000</v>
      </c>
    </row>
    <row r="18" customFormat="false" ht="14.9" hidden="false" customHeight="false" outlineLevel="0" collapsed="false">
      <c r="A18" s="9" t="s">
        <v>211</v>
      </c>
      <c r="B18" s="13" t="n">
        <f aca="false">B11</f>
        <v>775682.6</v>
      </c>
      <c r="C18" s="13" t="n">
        <f aca="false">C11</f>
        <v>1440553.4</v>
      </c>
      <c r="D18" s="13" t="n">
        <f aca="false">D11</f>
        <v>1772988.8</v>
      </c>
      <c r="E18" s="13" t="n">
        <f aca="false">E11</f>
        <v>1883800.6</v>
      </c>
      <c r="F18" s="13" t="n">
        <f aca="false">F11</f>
        <v>1883800.6</v>
      </c>
    </row>
    <row r="19" customFormat="false" ht="14.9" hidden="false" customHeight="false" outlineLevel="0" collapsed="false">
      <c r="A19" s="9" t="s">
        <v>212</v>
      </c>
      <c r="B19" s="10" t="n">
        <v>1200000</v>
      </c>
      <c r="C19" s="10" t="n">
        <v>1200000</v>
      </c>
      <c r="D19" s="10" t="n">
        <v>3600000</v>
      </c>
      <c r="E19" s="10" t="n">
        <v>3600000</v>
      </c>
      <c r="F19" s="10" t="n">
        <v>3600000</v>
      </c>
    </row>
    <row r="20" customFormat="false" ht="15" hidden="false" customHeight="false" outlineLevel="0" collapsed="false">
      <c r="A20" s="9" t="s">
        <v>213</v>
      </c>
      <c r="B20" s="13" t="n">
        <f aca="false">前提条件!$B$21*12</f>
        <v>4800000</v>
      </c>
      <c r="C20" s="13" t="n">
        <f aca="false">前提条件!$B$21*12</f>
        <v>4800000</v>
      </c>
      <c r="D20" s="13" t="n">
        <f aca="false">前提条件!$B$21*12</f>
        <v>4800000</v>
      </c>
      <c r="E20" s="13" t="n">
        <f aca="false">前提条件!$B$21*12</f>
        <v>4800000</v>
      </c>
      <c r="F20" s="13" t="n">
        <f aca="false">前提条件!$B$21*12</f>
        <v>4800000</v>
      </c>
    </row>
    <row r="21" customFormat="false" ht="15" hidden="false" customHeight="false" outlineLevel="0" collapsed="false">
      <c r="A21" s="9" t="s">
        <v>214</v>
      </c>
      <c r="B21" s="13" t="n">
        <f aca="false">前提条件!$B$22</f>
        <v>900000</v>
      </c>
      <c r="C21" s="13" t="n">
        <f aca="false">前提条件!$B$22</f>
        <v>900000</v>
      </c>
      <c r="D21" s="13" t="n">
        <f aca="false">前提条件!$B$22</f>
        <v>900000</v>
      </c>
      <c r="E21" s="13" t="n">
        <f aca="false">前提条件!$B$22</f>
        <v>900000</v>
      </c>
      <c r="F21" s="13" t="n">
        <f aca="false">前提条件!$B$22</f>
        <v>900000</v>
      </c>
    </row>
    <row r="22" customFormat="false" ht="15" hidden="false" customHeight="false" outlineLevel="0" collapsed="false">
      <c r="A22" s="9" t="s">
        <v>215</v>
      </c>
      <c r="B22" s="13" t="n">
        <f aca="false">前提条件!$B$23</f>
        <v>4650000</v>
      </c>
      <c r="C22" s="13" t="n">
        <f aca="false">前提条件!$B$23</f>
        <v>4650000</v>
      </c>
      <c r="D22" s="13" t="n">
        <f aca="false">前提条件!$B$23</f>
        <v>4650000</v>
      </c>
      <c r="E22" s="13" t="n">
        <f aca="false">前提条件!$B$23</f>
        <v>4650000</v>
      </c>
      <c r="F22" s="13" t="n">
        <f aca="false">前提条件!$B$23</f>
        <v>4650000</v>
      </c>
    </row>
    <row r="23" customFormat="false" ht="15" hidden="false" customHeight="false" outlineLevel="0" collapsed="false">
      <c r="A23" s="9" t="s">
        <v>216</v>
      </c>
      <c r="B23" s="13" t="n">
        <f aca="false">前提条件!$B$24/前提条件!$B$25</f>
        <v>2312500</v>
      </c>
      <c r="C23" s="13" t="n">
        <f aca="false">前提条件!$B$24/前提条件!$B$25</f>
        <v>2312500</v>
      </c>
      <c r="D23" s="13" t="n">
        <f aca="false">前提条件!$B$24/前提条件!$B$25</f>
        <v>2312500</v>
      </c>
      <c r="E23" s="13" t="n">
        <f aca="false">前提条件!$B$24/前提条件!$B$25</f>
        <v>2312500</v>
      </c>
      <c r="F23" s="13" t="n">
        <f aca="false">前提条件!$B$24/前提条件!$B$25</f>
        <v>2312500</v>
      </c>
    </row>
    <row r="24" customFormat="false" ht="15" hidden="false" customHeight="false" outlineLevel="0" collapsed="false">
      <c r="A24" s="29" t="s">
        <v>217</v>
      </c>
      <c r="B24" s="16" t="n">
        <f aca="false">SUM(B17:B23)</f>
        <v>54290182.6</v>
      </c>
      <c r="C24" s="16" t="n">
        <f aca="false">SUM(C17:C23)</f>
        <v>54955053.4</v>
      </c>
      <c r="D24" s="16" t="n">
        <f aca="false">SUM(D17:D23)</f>
        <v>57687488.8</v>
      </c>
      <c r="E24" s="16" t="n">
        <f aca="false">SUM(E17:E23)</f>
        <v>57798300.6</v>
      </c>
      <c r="F24" s="16" t="n">
        <f aca="false">SUM(F17:F23)</f>
        <v>57798300.6</v>
      </c>
    </row>
    <row r="25" customFormat="false" ht="15" hidden="false" customHeight="false" outlineLevel="0" collapsed="false">
      <c r="A25" s="14"/>
      <c r="B25" s="14"/>
      <c r="C25" s="14"/>
      <c r="D25" s="14"/>
      <c r="E25" s="14"/>
      <c r="F25" s="14"/>
    </row>
    <row r="26" customFormat="false" ht="15" hidden="false" customHeight="false" outlineLevel="0" collapsed="false">
      <c r="A26" s="29" t="s">
        <v>218</v>
      </c>
      <c r="B26" s="16" t="n">
        <f aca="false">B14-B24</f>
        <v>-33778630</v>
      </c>
      <c r="C26" s="16" t="n">
        <f aca="false">C14-C24</f>
        <v>-16862170</v>
      </c>
      <c r="D26" s="16" t="n">
        <f aca="false">D14-D24</f>
        <v>-10803940</v>
      </c>
      <c r="E26" s="16" t="n">
        <f aca="false">E14-E24</f>
        <v>-7984530.00000001</v>
      </c>
      <c r="F26" s="16" t="n">
        <f aca="false">F14-F24</f>
        <v>-7984530.00000001</v>
      </c>
    </row>
    <row r="27" customFormat="false" ht="15" hidden="false" customHeight="false" outlineLevel="0" collapsed="false">
      <c r="A27" s="9" t="s">
        <v>219</v>
      </c>
      <c r="B27" s="32" t="n">
        <f aca="false">IFERROR(B26/B14,0)</f>
        <v>-1.6468100030614</v>
      </c>
      <c r="C27" s="32" t="n">
        <f aca="false">IFERROR(C26/C14,0)</f>
        <v>-0.442659323604787</v>
      </c>
      <c r="D27" s="32" t="n">
        <f aca="false">IFERROR(D26/D14,0)</f>
        <v>-0.230442026606996</v>
      </c>
      <c r="E27" s="32" t="n">
        <f aca="false">IFERROR(E26/E14,0)</f>
        <v>-0.160287605291217</v>
      </c>
      <c r="F27" s="32" t="n">
        <f aca="false">IFERROR(F26/F14,0)</f>
        <v>-0.160287605291217</v>
      </c>
    </row>
    <row r="28" customFormat="false" ht="15" hidden="false" customHeight="false" outlineLevel="0" collapsed="false">
      <c r="A28" s="14"/>
      <c r="B28" s="14"/>
      <c r="C28" s="14"/>
      <c r="D28" s="14"/>
      <c r="E28" s="14"/>
      <c r="F28" s="14"/>
    </row>
    <row r="29" customFormat="false" ht="15" hidden="false" customHeight="false" outlineLevel="0" collapsed="false">
      <c r="A29" s="29" t="s">
        <v>220</v>
      </c>
      <c r="B29" s="14"/>
      <c r="C29" s="14"/>
      <c r="D29" s="14"/>
      <c r="E29" s="14"/>
      <c r="F29" s="14"/>
    </row>
    <row r="30" customFormat="false" ht="14.9" hidden="false" customHeight="false" outlineLevel="0" collapsed="false">
      <c r="A30" s="9" t="s">
        <v>221</v>
      </c>
      <c r="B30" s="13" t="n">
        <f aca="false">B26+B23</f>
        <v>-31466130</v>
      </c>
      <c r="C30" s="13" t="n">
        <f aca="false">C26+C23</f>
        <v>-14549670</v>
      </c>
      <c r="D30" s="13" t="n">
        <f aca="false">D26+D23</f>
        <v>-8491440</v>
      </c>
      <c r="E30" s="13" t="n">
        <f aca="false">E26+E23</f>
        <v>-5672030.00000001</v>
      </c>
      <c r="F30" s="13" t="n">
        <f aca="false">F26+F23</f>
        <v>-5672030.00000001</v>
      </c>
    </row>
    <row r="31" customFormat="false" ht="14.9" hidden="false" customHeight="false" outlineLevel="0" collapsed="false">
      <c r="A31" s="9" t="s">
        <v>222</v>
      </c>
      <c r="B31" s="24" t="n">
        <v>0</v>
      </c>
      <c r="C31" s="24" t="n">
        <v>3500000</v>
      </c>
      <c r="D31" s="24" t="n">
        <v>4000000</v>
      </c>
      <c r="E31" s="24" t="n">
        <v>4000000</v>
      </c>
      <c r="F31" s="24" t="n">
        <v>4000000</v>
      </c>
    </row>
    <row r="32" customFormat="false" ht="15" hidden="false" customHeight="false" outlineLevel="0" collapsed="false">
      <c r="A32" s="9" t="s">
        <v>223</v>
      </c>
      <c r="B32" s="13" t="n">
        <f aca="false">B30-B31</f>
        <v>-31466130</v>
      </c>
      <c r="C32" s="13" t="n">
        <f aca="false">C30-C31</f>
        <v>-18049670</v>
      </c>
      <c r="D32" s="13" t="n">
        <f aca="false">D30-D31</f>
        <v>-12491440</v>
      </c>
      <c r="E32" s="13" t="n">
        <f aca="false">E30-E31</f>
        <v>-9672030.00000001</v>
      </c>
      <c r="F32" s="13" t="n">
        <f aca="false">F30-F31</f>
        <v>-9672030.00000001</v>
      </c>
    </row>
    <row r="33" customFormat="false" ht="14.9" hidden="false" customHeight="false" outlineLevel="0" collapsed="false">
      <c r="A33" s="29" t="s">
        <v>224</v>
      </c>
      <c r="B33" s="16" t="n">
        <f aca="false">B32</f>
        <v>-31466130</v>
      </c>
      <c r="C33" s="16" t="n">
        <f aca="false">B33+C32</f>
        <v>-49515800</v>
      </c>
      <c r="D33" s="16" t="n">
        <f aca="false">C33+D32</f>
        <v>-62007240</v>
      </c>
      <c r="E33" s="16" t="n">
        <f aca="false">D33+E32</f>
        <v>-71679270</v>
      </c>
      <c r="F33" s="16" t="n">
        <f aca="false">E33+F32</f>
        <v>-81351300</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2026-08-15T02:40:22Z</dcterms:created>
  <dc:creator>openpyxl</dc:creator>
  <dc:description/>
  <dc:language>en-US</dc:language>
  <cp:lastModifiedBy/>
  <dcterms:modified xsi:type="dcterms:W3CDTF">2026-08-15T02:40:22Z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