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 name="加算フル活用シナリオ" sheetId="10" state="visible" r:id="rId12"/>
    <sheet name="配置比率シナリオ比較" sheetId="11" state="visible" r:id="rId13"/>
    <sheet name="満床シナリオ" sheetId="12" state="visible" r:id="rId14"/>
    <sheet name="費用内訳レビュー" sheetId="13" state="visible" r:id="rId15"/>
  </sheets>
  <definedNames>
    <definedName function="false" hidden="false" localSheetId="12" name="_xlnm.Print_Area" vbProcedure="false">費用内訳レビュー!$A$1:$G$63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<sst xmlns="http://schemas.openxmlformats.org/spreadsheetml/2006/main" count="450" uniqueCount="326">
  <si>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</si>
  <si>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</si>
  <si>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</si>
  <si>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</si>
  <si>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</si>
  <si>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</si>
  <si>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</si>
  <si>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</si>
  <si>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</si>
  <si>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</si>
  <si>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</si>
  <si>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</si>
  <si>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</si>
  <si>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</si>
  <si>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</si>
  <si>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</si>
  <si>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</si>
  <si>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</si>
  <si>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</si>
  <si>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</si>
  <si>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</si>
  <si>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</si>
  <si>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</si>
  <si>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</si>
  <si>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</si>
  <si>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</si>
  <si>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</si>
  <si>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</si>
  <si>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</si>
  <si>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</si>
  <si>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</si>
  <si>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</si>
  <si>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</si>
  <si>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</si>
  <si>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</si>
  <si>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</si>
  <si>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</si>
  <si>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</si>
  <si>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開所時人員</t>
    </r>
    <r>
      <rPr>
        <sz val="11"/>
        <color rgb="FF000000"/>
        <rFont val="Arial"/>
        <family val="0"/>
        <charset val="1"/>
      </rPr>
      <t xml:space="preserve">(</t>
    </r>
    <r>
      <rPr>
        <sz val="11"/>
        <color rgb="FF000000"/>
        <rFont val="WenQuanYi Zen Hei"/>
        <family val="2"/>
      </rPr>
      <t xml:space="preserve">段階採用モデルにより看護職員</t>
    </r>
    <r>
      <rPr>
        <sz val="11"/>
        <color rgb="FF000000"/>
        <rFont val="Arial"/>
        <family val="0"/>
        <charset val="1"/>
      </rPr>
      <t xml:space="preserve">1</t>
    </r>
    <r>
      <rPr>
        <sz val="11"/>
        <color rgb="FF000000"/>
        <rFont val="WenQuanYi Zen Hei"/>
        <family val="2"/>
      </rPr>
      <t xml:space="preserve">名・生活支援員等</t>
    </r>
    <r>
      <rPr>
        <sz val="11"/>
        <color rgb="FF000000"/>
        <rFont val="Arial"/>
        <family val="0"/>
        <charset val="1"/>
      </rPr>
      <t xml:space="preserve">2</t>
    </r>
    <r>
      <rPr>
        <sz val="11"/>
        <color rgb="FF000000"/>
        <rFont val="WenQuanYi Zen Hei"/>
        <family val="2"/>
      </rPr>
      <t xml:space="preserve">名の計</t>
    </r>
    <r>
      <rPr>
        <sz val="11"/>
        <color rgb="FF000000"/>
        <rFont val="Arial"/>
        <family val="0"/>
        <charset val="1"/>
      </rPr>
      <t xml:space="preserve">3</t>
    </r>
    <r>
      <rPr>
        <sz val="11"/>
        <color rgb="FF000000"/>
        <rFont val="WenQuanYi Zen Hei"/>
        <family val="2"/>
      </rPr>
      <t xml:space="preserve">名、丸山氏は除く</t>
    </r>
    <r>
      <rPr>
        <sz val="11"/>
        <color rgb="FF000000"/>
        <rFont val="Arial"/>
        <family val="0"/>
        <charset val="1"/>
      </rPr>
      <t xml:space="preserve">)</t>
    </r>
    <r>
      <rPr>
        <sz val="11"/>
        <color rgb="FF000000"/>
        <rFont val="WenQuanYi Zen Hei"/>
        <family val="2"/>
      </rPr>
      <t xml:space="preserve">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</si>
  <si>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</si>
  <si>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</si>
  <si>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</si>
  <si>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</si>
  <si>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</si>
  <si>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</si>
  <si>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</si>
  <si>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</si>
  <si>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</si>
  <si>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</si>
  <si>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</si>
  <si>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</si>
  <si>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</si>
  <si>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</si>
  <si>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</si>
  <si>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</si>
  <si>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</si>
  <si>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</si>
  <si>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</si>
  <si>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</si>
  <si>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</si>
  <si>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</si>
  <si>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</si>
  <si>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</si>
  <si>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</si>
  <si>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</si>
  <si>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</si>
  <si>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</si>
  <si>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</si>
  <si>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</si>
  <si>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</si>
  <si>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</si>
  <si>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</si>
  <si>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</si>
  <si>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</si>
  <si>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フル取得ケース</t>
    </r>
    <r>
      <rPr>
        <sz val="11"/>
        <color rgb="FF000000"/>
        <rFont val="Arial"/>
        <family val="0"/>
        <charset val="1"/>
      </rPr>
      <t xml:space="preserve">)</t>
    </r>
  </si>
  <si>
    <r>
      <rPr>
        <sz val="11"/>
        <color rgb="FF000000"/>
        <rFont val="WenQuanYi Zen Hei"/>
        <family val="2"/>
      </rPr>
      <t xml:space="preserve">基本報酬に対する割合。旧制度</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R6.5)</t>
    </r>
    <r>
      <rPr>
        <sz val="11"/>
        <color rgb="FF000000"/>
        <rFont val="WenQuanYi Zen Hei"/>
        <family val="2"/>
      </rPr>
      <t xml:space="preserve">の生活介護 加算Ⅰ</t>
    </r>
    <r>
      <rPr>
        <sz val="11"/>
        <color rgb="FF000000"/>
        <rFont val="Arial"/>
        <family val="0"/>
        <charset val="1"/>
      </rPr>
      <t xml:space="preserve">(4.4%)</t>
    </r>
    <r>
      <rPr>
        <sz val="11"/>
        <color rgb="FF000000"/>
        <rFont val="WenQuanYi Zen Hei"/>
        <family val="2"/>
      </rPr>
      <t xml:space="preserve">＋特定処遇改善加算Ⅰ</t>
    </r>
    <r>
      <rPr>
        <sz val="11"/>
        <color rgb="FF000000"/>
        <rFont val="Arial"/>
        <family val="0"/>
        <charset val="1"/>
      </rPr>
      <t xml:space="preserve">(1.4%)</t>
    </r>
    <r>
      <rPr>
        <sz val="11"/>
        <color rgb="FF000000"/>
        <rFont val="WenQuanYi Zen Hei"/>
        <family val="2"/>
      </rPr>
      <t xml:space="preserve">＋ベースアップ等支援加算</t>
    </r>
    <r>
      <rPr>
        <sz val="11"/>
        <color rgb="FF000000"/>
        <rFont val="Arial"/>
        <family val="0"/>
        <charset val="1"/>
      </rPr>
      <t xml:space="preserve">(2.6%)</t>
    </r>
    <r>
      <rPr>
        <sz val="11"/>
        <color rgb="FF000000"/>
        <rFont val="WenQuanYi Zen Hei"/>
        <family val="2"/>
      </rPr>
      <t xml:space="preserve">を全て満額取得した場合の合計値。令和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月に一本化された新加算では加算率がさらに引き上げられているとされるため、この</t>
    </r>
    <r>
      <rPr>
        <sz val="11"/>
        <color rgb="FF000000"/>
        <rFont val="Arial"/>
        <family val="0"/>
        <charset val="1"/>
      </rPr>
      <t xml:space="preserve">8.4%</t>
    </r>
    <r>
      <rPr>
        <sz val="11"/>
        <color rgb="FF000000"/>
        <rFont val="WenQuanYi Zen Hei"/>
        <family val="2"/>
      </rPr>
      <t xml:space="preserve">は保守的な下限目安。要件</t>
    </r>
    <r>
      <rPr>
        <sz val="11"/>
        <color rgb="FF000000"/>
        <rFont val="Arial"/>
        <family val="0"/>
        <charset val="1"/>
      </rPr>
      <t xml:space="preserve">(</t>
    </r>
    <r>
      <rPr>
        <sz val="11"/>
        <color rgb="FF000000"/>
        <rFont val="WenQuanYi Zen Hei"/>
        <family val="2"/>
      </rPr>
      <t xml:space="preserve">キャリアパス要件Ⅰ〜Ⅲ、月額賃金改善要件、職場環境等要件</t>
    </r>
    <r>
      <rPr>
        <sz val="11"/>
        <color rgb="FF000000"/>
        <rFont val="Arial"/>
        <family val="0"/>
        <charset val="1"/>
      </rPr>
      <t xml:space="preserve">)</t>
    </r>
    <r>
      <rPr>
        <sz val="11"/>
        <color rgb="FF000000"/>
        <rFont val="WenQuanYi Zen Hei"/>
        <family val="2"/>
      </rPr>
      <t xml:space="preserve">を満たす賃金制度・研修体系の整備が前提。加算額は全額を職員の賃金改善に充てる義務があるため、収支計画では同額を人件費側にも計上し損益に中立化している。</t>
    </r>
  </si>
  <si>
    <r>
      <rPr>
        <sz val="11"/>
        <color rgb="FF000000"/>
        <rFont val="WenQuanYi Zen Hei"/>
        <family val="2"/>
      </rPr>
      <t xml:space="preserve">福祉専門職員配置等加算単位数</t>
    </r>
    <r>
      <rPr>
        <sz val="11"/>
        <color rgb="FF000000"/>
        <rFont val="Arial"/>
        <family val="0"/>
        <charset val="1"/>
      </rPr>
      <t xml:space="preserve">(Ⅰ+Ⅲ</t>
    </r>
    <r>
      <rPr>
        <sz val="11"/>
        <color rgb="FF000000"/>
        <rFont val="WenQuanYi Zen Hei"/>
        <family val="2"/>
      </rPr>
      <t xml:space="preserve">併給</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</si>
  <si>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日。生活支援員等のうち社会福祉士・介護福祉士・精神保健福祉士・公認心理師の有資格者が</t>
    </r>
    <r>
      <rPr>
        <sz val="11"/>
        <color rgb="FF000000"/>
        <rFont val="Arial"/>
        <family val="0"/>
        <charset val="1"/>
      </rPr>
      <t xml:space="preserve">35%</t>
    </r>
    <r>
      <rPr>
        <sz val="11"/>
        <color rgb="FF000000"/>
        <rFont val="WenQuanYi Zen Hei"/>
        <family val="2"/>
      </rPr>
      <t xml:space="preserve">以上</t>
    </r>
    <r>
      <rPr>
        <sz val="11"/>
        <color rgb="FF000000"/>
        <rFont val="Arial"/>
        <family val="0"/>
        <charset val="1"/>
      </rPr>
      <t xml:space="preserve">(Ⅰ:15</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、かつ常勤</t>
    </r>
    <r>
      <rPr>
        <sz val="11"/>
        <color rgb="FF000000"/>
        <rFont val="Arial"/>
        <family val="0"/>
        <charset val="1"/>
      </rPr>
      <t xml:space="preserve">75%</t>
    </r>
    <r>
      <rPr>
        <sz val="11"/>
        <color rgb="FF000000"/>
        <rFont val="WenQuanYi Zen Hei"/>
        <family val="2"/>
      </rPr>
      <t xml:space="preserve">以上または常勤で</t>
    </r>
    <r>
      <rPr>
        <sz val="11"/>
        <color rgb="FF000000"/>
        <rFont val="Arial"/>
        <family val="0"/>
        <charset val="1"/>
      </rPr>
      <t xml:space="preserve">3</t>
    </r>
    <r>
      <rPr>
        <sz val="11"/>
        <color rgb="FF000000"/>
        <rFont val="WenQuanYi Zen Hei"/>
        <family val="2"/>
      </rPr>
      <t xml:space="preserve">年以上勤続者</t>
    </r>
    <r>
      <rPr>
        <sz val="11"/>
        <color rgb="FF000000"/>
        <rFont val="Arial"/>
        <family val="0"/>
        <charset val="1"/>
      </rPr>
      <t xml:space="preserve">30%</t>
    </r>
    <r>
      <rPr>
        <sz val="11"/>
        <color rgb="FF000000"/>
        <rFont val="WenQuanYi Zen Hei"/>
        <family val="2"/>
      </rPr>
      <t xml:space="preserve">以上</t>
    </r>
    <r>
      <rPr>
        <sz val="11"/>
        <color rgb="FF000000"/>
        <rFont val="Arial"/>
        <family val="0"/>
        <charset val="1"/>
      </rPr>
      <t xml:space="preserve">(Ⅲ:6</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を満たす場合。生活介護はⅠ</t>
    </r>
    <r>
      <rPr>
        <sz val="11"/>
        <color rgb="FF000000"/>
        <rFont val="Arial"/>
        <family val="0"/>
        <charset val="1"/>
      </rPr>
      <t xml:space="preserve">(</t>
    </r>
    <r>
      <rPr>
        <sz val="11"/>
        <color rgb="FF000000"/>
        <rFont val="WenQuanYi Zen Hei"/>
        <family val="2"/>
      </rPr>
      <t xml:space="preserve">またはⅡ</t>
    </r>
    <r>
      <rPr>
        <sz val="11"/>
        <color rgb="FF000000"/>
        <rFont val="Arial"/>
        <family val="0"/>
        <charset val="1"/>
      </rPr>
      <t xml:space="preserve">)</t>
    </r>
    <r>
      <rPr>
        <sz val="11"/>
        <color rgb="FF000000"/>
        <rFont val="WenQuanYi Zen Hei"/>
        <family val="2"/>
      </rPr>
      <t xml:space="preserve">とⅢの併給が可能。追加人件費なしで採用方針の工夫のみで取得可能なため、確実性の高い加算として基本ケースに算入。</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</si>
  <si>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</si>
  <si>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</si>
  <si>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</si>
  <si>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</si>
  <si>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</si>
  <si>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</si>
  <si>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</si>
  <si>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</si>
  <si>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</si>
  <si>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96</t>
    </r>
    <r>
      <rPr>
        <sz val="11"/>
        <color rgb="FF000000"/>
        <rFont val="WenQuanYi Zen Hei"/>
        <family val="2"/>
      </rPr>
      <t xml:space="preserve">単位としていたが、公表情報では</t>
    </r>
    <r>
      <rPr>
        <sz val="11"/>
        <color rgb="FF000000"/>
        <rFont val="Arial"/>
        <family val="0"/>
        <charset val="1"/>
      </rPr>
      <t xml:space="preserve">30</t>
    </r>
    <r>
      <rPr>
        <sz val="11"/>
        <color rgb="FF000000"/>
        <rFont val="WenQuanYi Zen Hei"/>
        <family val="2"/>
      </rPr>
      <t xml:space="preserve">単位が確認できたため是正</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</si>
  <si>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</si>
  <si>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</si>
  <si>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</si>
  <si>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</si>
  <si>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</si>
  <si>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</si>
  <si>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</si>
  <si>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</si>
  <si>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</si>
  <si>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</si>
  <si>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</si>
  <si>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WenQuanYi Zen Hei"/>
        <family val="2"/>
      </rPr>
      <t xml:space="preserve">年次成長シナリオ</t>
    </r>
    <r>
      <rPr>
        <b val="true"/>
        <sz val="11"/>
        <rFont val="Arial"/>
        <family val="0"/>
        <charset val="1"/>
      </rPr>
      <t xml:space="preserve">(</t>
    </r>
    <r>
      <rPr>
        <b val="true"/>
        <sz val="11"/>
        <rFont val="WenQuanYi Zen Hei"/>
        <family val="2"/>
      </rPr>
      <t xml:space="preserve">改訂：丸山さんの実務感覚に基づく段階採用モデル</t>
    </r>
    <r>
      <rPr>
        <b val="true"/>
        <sz val="11"/>
        <rFont val="Arial"/>
        <family val="0"/>
        <charset val="1"/>
      </rPr>
      <t xml:space="preserve">)</t>
    </r>
  </si>
  <si>
    <r>
      <rPr>
        <sz val="11"/>
        <color rgb="FF000000"/>
        <rFont val="WenQuanYi Zen Hei"/>
        <family val="2"/>
      </rPr>
      <t xml:space="preserve">開所直後に定員相当の人員を揃えるのは非現実的なため、利用者数の増加に合わせて職員を段階的に採用する設計に変更。人員配置体制加算Ⅰの配置水準</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を、法定最低ライン</t>
    </r>
    <r>
      <rPr>
        <sz val="11"/>
        <color rgb="FF000000"/>
        <rFont val="Arial"/>
        <family val="0"/>
        <charset val="1"/>
      </rPr>
      <t xml:space="preserve">(3:1)</t>
    </r>
    <r>
      <rPr>
        <sz val="11"/>
        <color rgb="FF000000"/>
        <rFont val="WenQuanYi Zen Hei"/>
        <family val="2"/>
      </rPr>
      <t xml:space="preserve">ではなく開所当初からの目標水準として維持する。</t>
    </r>
  </si>
  <si>
    <r>
      <rPr>
        <sz val="11"/>
        <color rgb="FF000000"/>
        <rFont val="WenQuanYi Zen Hei"/>
        <family val="2"/>
      </rPr>
      <t xml:space="preserve">職員配置比率の目標</t>
    </r>
    <r>
      <rPr>
        <sz val="11"/>
        <color rgb="FF000000"/>
        <rFont val="Arial"/>
        <family val="0"/>
        <charset val="1"/>
      </rPr>
      <t xml:space="preserve">(</t>
    </r>
    <r>
      <rPr>
        <sz val="11"/>
        <color rgb="FF000000"/>
        <rFont val="WenQuanYi Zen Hei"/>
        <family val="2"/>
      </rPr>
      <t xml:space="preserve">利用者○人につき職員</t>
    </r>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</si>
  <si>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看護職員・</t>
    </r>
    <r>
      <rPr>
        <sz val="11"/>
        <color rgb="FF000000"/>
        <rFont val="Arial"/>
        <family val="0"/>
        <charset val="1"/>
      </rPr>
      <t xml:space="preserve">PT/OT</t>
    </r>
    <r>
      <rPr>
        <sz val="11"/>
        <color rgb="FF000000"/>
        <rFont val="WenQuanYi Zen Hei"/>
        <family val="2"/>
      </rPr>
      <t xml:space="preserve">・生活支援員等の合計で、この比率を維持できるよう生活支援員等の人数を自動算出する</t>
    </r>
    <r>
      <rPr>
        <sz val="11"/>
        <color rgb="FF000000"/>
        <rFont val="Arial"/>
        <family val="0"/>
        <charset val="1"/>
      </rPr>
      <t xml:space="preserve">(</t>
    </r>
    <r>
      <rPr>
        <sz val="11"/>
        <color rgb="FF000000"/>
        <rFont val="WenQuanYi Zen Hei"/>
        <family val="2"/>
      </rPr>
      <t xml:space="preserve">下記</t>
    </r>
    <r>
      <rPr>
        <sz val="11"/>
        <color rgb="FF000000"/>
        <rFont val="Arial"/>
        <family val="0"/>
        <charset val="1"/>
      </rPr>
      <t xml:space="preserve">)</t>
    </r>
    <r>
      <rPr>
        <sz val="11"/>
        <color rgb="FF000000"/>
        <rFont val="WenQuanYi Zen Hei"/>
        <family val="2"/>
      </rPr>
      <t xml:space="preserve">。人員配置体制加算Ⅰの配置要件</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と同水準。</t>
    </r>
  </si>
  <si>
    <r>
      <rPr>
        <sz val="11"/>
        <color rgb="FF000000"/>
        <rFont val="WenQuanYi Zen Hei"/>
        <family val="2"/>
      </rPr>
      <t xml:space="preserve">人員配置体制加算Ⅰ単位数</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配置</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</si>
  <si>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日。上記の配置比率目標</t>
    </r>
    <r>
      <rPr>
        <sz val="11"/>
        <color rgb="FF000000"/>
        <rFont val="Arial"/>
        <family val="0"/>
        <charset val="1"/>
      </rPr>
      <t xml:space="preserve">(1.5:1)</t>
    </r>
    <r>
      <rPr>
        <sz val="11"/>
        <color rgb="FF000000"/>
        <rFont val="WenQuanYi Zen Hei"/>
        <family val="2"/>
      </rPr>
      <t xml:space="preserve">が要件と同水準のため、開所当初からの正式な収入源として算入する。正確な要件・単位数は広島市の単価表で必ず確認</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t>
    </r>
  </si>
  <si>
    <r>
      <rPr>
        <sz val="11"/>
        <color rgb="FF000000"/>
        <rFont val="WenQuanYi Zen Hei"/>
        <family val="2"/>
      </rPr>
      <t xml:space="preserve">年次利用者数</t>
    </r>
    <r>
      <rPr>
        <sz val="11"/>
        <color rgb="FF000000"/>
        <rFont val="Arial"/>
        <family val="0"/>
        <charset val="1"/>
      </rPr>
      <t xml:space="preserve">(</t>
    </r>
    <r>
      <rPr>
        <sz val="11"/>
        <color rgb="FF000000"/>
        <rFont val="WenQuanYi Zen Hei"/>
        <family val="2"/>
      </rPr>
      <t xml:space="preserve">月末契約者数の想定レンジの中央値。丸山さんの想定をもとに設定</t>
    </r>
    <r>
      <rPr>
        <sz val="11"/>
        <color rgb="FF000000"/>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</si>
  <si>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</si>
  <si>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</si>
  <si>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</si>
  <si>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</si>
  <si>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</si>
  <si>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年次利用者数</t>
    </r>
    <r>
      <rPr>
        <sz val="11"/>
        <color rgb="FF000000"/>
        <rFont val="Arial"/>
        <family val="0"/>
        <charset val="1"/>
      </rPr>
      <t xml:space="preserve">(</t>
    </r>
    <r>
      <rPr>
        <sz val="11"/>
        <color rgb="FF000000"/>
        <rFont val="WenQuanYi Zen Hei"/>
        <family val="2"/>
      </rPr>
      <t xml:space="preserve">想定レンジの中央値、常勤換算の計算に使用</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</si>
  <si>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想定レンジ</t>
    </r>
  </si>
  <si>
    <r>
      <rPr>
        <sz val="11"/>
        <color rgb="FF000000"/>
        <rFont val="Arial"/>
        <family val="0"/>
        <charset val="1"/>
      </rPr>
      <t xml:space="preserve">3</t>
    </r>
    <r>
      <rPr>
        <sz val="11"/>
        <color rgb="FF000000"/>
        <rFont val="WenQuanYi Zen Hei"/>
        <family val="2"/>
      </rPr>
      <t xml:space="preserve">〜</t>
    </r>
    <r>
      <rPr>
        <sz val="11"/>
        <color rgb="FF000000"/>
        <rFont val="Arial"/>
        <family val="0"/>
        <charset val="1"/>
      </rPr>
      <t xml:space="preserve">5</t>
    </r>
    <r>
      <rPr>
        <sz val="11"/>
        <color rgb="FF000000"/>
        <rFont val="WenQuanYi Zen Hei"/>
        <family val="2"/>
      </rPr>
      <t xml:space="preserve">名</t>
    </r>
  </si>
  <si>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8</t>
    </r>
    <r>
      <rPr>
        <sz val="11"/>
        <color rgb="FF000000"/>
        <rFont val="WenQuanYi Zen Hei"/>
        <family val="2"/>
      </rPr>
      <t xml:space="preserve">名</t>
    </r>
  </si>
  <si>
    <r>
      <rPr>
        <sz val="11"/>
        <color rgb="FF000000"/>
        <rFont val="Arial"/>
        <family val="0"/>
        <charset val="1"/>
      </rPr>
      <t xml:space="preserve">9</t>
    </r>
    <r>
      <rPr>
        <sz val="11"/>
        <color rgb="FF000000"/>
        <rFont val="WenQuanYi Zen Hei"/>
        <family val="2"/>
      </rPr>
      <t xml:space="preserve">〜</t>
    </r>
    <r>
      <rPr>
        <sz val="11"/>
        <color rgb="FF000000"/>
        <rFont val="Arial"/>
        <family val="0"/>
        <charset val="1"/>
      </rPr>
      <t xml:space="preserve">12</t>
    </r>
    <r>
      <rPr>
        <sz val="11"/>
        <color rgb="FF000000"/>
        <rFont val="WenQuanYi Zen Hei"/>
        <family val="2"/>
      </rPr>
      <t xml:space="preserve">名</t>
    </r>
  </si>
  <si>
    <r>
      <rPr>
        <sz val="11"/>
        <color rgb="FF000000"/>
        <rFont val="Arial"/>
        <family val="0"/>
        <charset val="1"/>
      </rPr>
      <t xml:space="preserve">13</t>
    </r>
    <r>
      <rPr>
        <sz val="11"/>
        <color rgb="FF000000"/>
        <rFont val="WenQuanYi Zen Hei"/>
        <family val="2"/>
      </rPr>
      <t xml:space="preserve">〜</t>
    </r>
    <r>
      <rPr>
        <sz val="11"/>
        <color rgb="FF000000"/>
        <rFont val="Arial"/>
        <family val="0"/>
        <charset val="1"/>
      </rPr>
      <t xml:space="preserve">16</t>
    </r>
    <r>
      <rPr>
        <sz val="11"/>
        <color rgb="FF000000"/>
        <rFont val="WenQuanYi Zen Hei"/>
        <family val="2"/>
      </rPr>
      <t xml:space="preserve">名</t>
    </r>
  </si>
  <si>
    <r>
      <rPr>
        <sz val="11"/>
        <color rgb="FF000000"/>
        <rFont val="Arial"/>
        <family val="0"/>
        <charset val="1"/>
      </rPr>
      <t xml:space="preserve">17</t>
    </r>
    <r>
      <rPr>
        <sz val="11"/>
        <color rgb="FF000000"/>
        <rFont val="WenQuanYi Zen Hei"/>
        <family val="2"/>
      </rPr>
      <t xml:space="preserve">〜</t>
    </r>
    <r>
      <rPr>
        <sz val="11"/>
        <color rgb="FF000000"/>
        <rFont val="Arial"/>
        <family val="0"/>
        <charset val="1"/>
      </rPr>
      <t xml:space="preserve">20</t>
    </r>
    <r>
      <rPr>
        <sz val="11"/>
        <color rgb="FF000000"/>
        <rFont val="WenQuanYi Zen Hei"/>
        <family val="2"/>
      </rPr>
      <t xml:space="preserve">名</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</si>
  <si>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</si>
  <si>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</si>
  <si>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</si>
  <si>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</si>
  <si>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</si>
  <si>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</si>
  <si>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</si>
  <si>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</si>
  <si>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</si>
  <si>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</si>
  <si>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</si>
  <si>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段階採用モデル。配置比率</t>
    </r>
    <r>
      <rPr>
        <b val="true"/>
        <sz val="14"/>
        <rFont val="Arial"/>
        <family val="0"/>
        <charset val="1"/>
      </rPr>
      <t xml:space="preserve">1.5:1</t>
    </r>
    <r>
      <rPr>
        <b val="true"/>
        <sz val="14"/>
        <rFont val="WenQuanYi Zen Hei"/>
        <family val="2"/>
      </rPr>
      <t xml:space="preserve">を維持しながら年次で増員</t>
    </r>
    <r>
      <rPr>
        <b val="true"/>
        <sz val="14"/>
        <rFont val="Arial"/>
        <family val="0"/>
        <charset val="1"/>
      </rPr>
      <t xml:space="preserve">)</t>
    </r>
  </si>
  <si>
    <r>
      <rPr>
        <sz val="11"/>
        <color theme="1"/>
        <rFont val="WenQuanYi Zen Hei"/>
        <family val="2"/>
      </rPr>
      <t xml:space="preserve">開所直後に定員相当の人員を揃えるのは非現実的なため、利用者数の増加に合わせて段階的に採用する設計。看護職員・</t>
    </r>
    <r>
      <rPr>
        <sz val="11"/>
        <color theme="1"/>
        <rFont val="Calibri"/>
        <family val="2"/>
        <charset val="1"/>
      </rPr>
      <t xml:space="preserve">PT/OT</t>
    </r>
    <r>
      <rPr>
        <sz val="11"/>
        <color theme="1"/>
        <rFont val="WenQuanYi Zen Hei"/>
        <family val="2"/>
      </rPr>
      <t xml:space="preserve">・生活支援員等の合計が、常に「前提条件」シートの配置比率目標</t>
    </r>
    <r>
      <rPr>
        <sz val="11"/>
        <color theme="1"/>
        <rFont val="Calibri"/>
        <family val="2"/>
        <charset val="1"/>
      </rPr>
      <t xml:space="preserve">(1.5:1)</t>
    </r>
    <r>
      <rPr>
        <sz val="11"/>
        <color theme="1"/>
        <rFont val="WenQuanYi Zen Hei"/>
        <family val="2"/>
      </rPr>
      <t xml:space="preserve">を満たすよう、生活支援員等の人数を自動算出する。</t>
    </r>
    <r>
      <rPr>
        <sz val="11"/>
        <color theme="1"/>
        <rFont val="Calibri"/>
        <family val="2"/>
        <charset val="1"/>
      </rPr>
      <t xml:space="preserve">PT/OT</t>
    </r>
    <r>
      <rPr>
        <sz val="11"/>
        <color theme="1"/>
        <rFont val="WenQuanYi Zen Hei"/>
        <family val="2"/>
      </rPr>
      <t xml:space="preserve">・事務員は規模が整う</t>
    </r>
    <r>
      <rPr>
        <sz val="11"/>
        <color theme="1"/>
        <rFont val="Calibri"/>
        <family val="2"/>
        <charset val="1"/>
      </rPr>
      <t xml:space="preserve">Year2</t>
    </r>
    <r>
      <rPr>
        <sz val="11"/>
        <color theme="1"/>
        <rFont val="WenQuanYi Zen Hei"/>
        <family val="2"/>
      </rPr>
      <t xml:space="preserve">〜</t>
    </r>
    <r>
      <rPr>
        <sz val="11"/>
        <color theme="1"/>
        <rFont val="Calibri"/>
        <family val="2"/>
        <charset val="1"/>
      </rPr>
      <t xml:space="preserve">3</t>
    </r>
    <r>
      <rPr>
        <sz val="11"/>
        <color theme="1"/>
        <rFont val="WenQuanYi Zen Hei"/>
        <family val="2"/>
      </rPr>
      <t xml:space="preserve">から正式配置</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</si>
  <si>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r>
      <rPr>
        <b val="true"/>
        <sz val="11"/>
        <color rgb="FFFFFFFF"/>
        <rFont val="WenQuanYi Zen Hei"/>
        <family val="2"/>
      </rPr>
      <t xml:space="preserve">職種</t>
    </r>
    <r>
      <rPr>
        <b val="true"/>
        <sz val="11"/>
        <color rgb="FFFFFFFF"/>
        <rFont val="Arial"/>
        <family val="0"/>
        <charset val="1"/>
      </rPr>
      <t xml:space="preserve">(</t>
    </r>
    <r>
      <rPr>
        <b val="true"/>
        <sz val="11"/>
        <color rgb="FFFFFFFF"/>
        <rFont val="WenQuanYi Zen Hei"/>
        <family val="2"/>
      </rPr>
      <t xml:space="preserve">人数：常勤換算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</si>
  <si>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</si>
  <si>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</si>
  <si>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r>
      <rPr>
        <sz val="11"/>
        <color rgb="FF000000"/>
        <rFont val="WenQuanYi Zen Hei"/>
        <family val="2"/>
      </rPr>
      <t xml:space="preserve">常勤・専従が原則。全期間</t>
    </r>
    <r>
      <rPr>
        <sz val="11"/>
        <color rgb="FF000000"/>
        <rFont val="Arial"/>
        <family val="0"/>
        <charset val="1"/>
      </rPr>
      <t xml:space="preserve">1</t>
    </r>
    <r>
      <rPr>
        <sz val="11"/>
        <color rgb="FF000000"/>
        <rFont val="WenQuanYi Zen Hei"/>
        <family val="2"/>
      </rPr>
      <t xml:space="preserve">名で固定</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</si>
  <si>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</si>
  <si>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t>
    </r>
    <r>
      <rPr>
        <sz val="11"/>
        <color rgb="FF000000"/>
        <rFont val="Arial"/>
        <family val="0"/>
        <charset val="1"/>
      </rPr>
      <t xml:space="preserve">Year1</t>
    </r>
    <r>
      <rPr>
        <sz val="11"/>
        <color rgb="FF000000"/>
        <rFont val="WenQuanYi Zen Hei"/>
        <family val="2"/>
      </rPr>
      <t xml:space="preserve">は非常勤の組み合わせで充足する想定でも、コストは通年換算で計上</t>
    </r>
  </si>
  <si>
    <r>
      <rPr>
        <sz val="11"/>
        <color rgb="FF000000"/>
        <rFont val="WenQuanYi Zen Hei"/>
        <family val="2"/>
      </rPr>
      <t xml:space="preserve">機能訓練指導員</t>
    </r>
    <r>
      <rPr>
        <sz val="11"/>
        <color rgb="FF000000"/>
        <rFont val="Arial"/>
        <family val="0"/>
        <charset val="1"/>
      </rPr>
      <t xml:space="preserve">(PT/OT)</t>
    </r>
  </si>
  <si>
    <r>
      <rPr>
        <sz val="11"/>
        <color rgb="FF000000"/>
        <rFont val="WenQuanYi Zen Hei"/>
        <family val="2"/>
      </rPr>
      <t xml:space="preserve">機能訓練を運営規程に位置付ける場合は配置必須。</t>
    </r>
    <r>
      <rPr>
        <sz val="11"/>
        <color rgb="FF000000"/>
        <rFont val="Arial"/>
        <family val="0"/>
        <charset val="1"/>
      </rPr>
      <t xml:space="preserve">Year1-2</t>
    </r>
    <r>
      <rPr>
        <sz val="11"/>
        <color rgb="FF000000"/>
        <rFont val="WenQuanYi Zen Hei"/>
        <family val="2"/>
      </rPr>
      <t xml:space="preserve">は非常勤の最小限対応とし、</t>
    </r>
    <r>
      <rPr>
        <sz val="11"/>
        <color rgb="FF000000"/>
        <rFont val="Arial"/>
        <family val="0"/>
        <charset val="1"/>
      </rPr>
      <t xml:space="preserve">Year3</t>
    </r>
    <r>
      <rPr>
        <sz val="11"/>
        <color rgb="FF000000"/>
        <rFont val="WenQuanYi Zen Hei"/>
        <family val="2"/>
      </rPr>
      <t xml:space="preserve">以降に正式配置</t>
    </r>
    <r>
      <rPr>
        <sz val="11"/>
        <color rgb="FF000000"/>
        <rFont val="Arial"/>
        <family val="0"/>
        <charset val="1"/>
      </rPr>
      <t xml:space="preserve">(</t>
    </r>
    <r>
      <rPr>
        <sz val="11"/>
        <color rgb="FF000000"/>
        <rFont val="WenQuanYi Zen Hei"/>
        <family val="2"/>
      </rPr>
      <t xml:space="preserve">規模が整ってから段階導入</t>
    </r>
    <r>
      <rPr>
        <sz val="11"/>
        <color rgb="FF000000"/>
        <rFont val="Arial"/>
        <family val="0"/>
        <charset val="1"/>
      </rPr>
      <t xml:space="preserve">)</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</si>
  <si>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</si>
  <si>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r>
      <rPr>
        <sz val="11"/>
        <color rgb="FF000000"/>
        <rFont val="WenQuanYi Zen Hei"/>
        <family val="2"/>
      </rPr>
      <t xml:space="preserve">経理・請求事務等。</t>
    </r>
    <r>
      <rPr>
        <sz val="11"/>
        <color rgb="FF000000"/>
        <rFont val="Arial"/>
        <family val="0"/>
        <charset val="1"/>
      </rPr>
      <t xml:space="preserve">Year1</t>
    </r>
    <r>
      <rPr>
        <sz val="11"/>
        <color rgb="FF000000"/>
        <rFont val="WenQuanYi Zen Hei"/>
        <family val="2"/>
      </rPr>
      <t xml:space="preserve">は丸山氏が兼務し、</t>
    </r>
    <r>
      <rPr>
        <sz val="11"/>
        <color rgb="FF000000"/>
        <rFont val="Arial"/>
        <family val="0"/>
        <charset val="1"/>
      </rPr>
      <t xml:space="preserve">Year2</t>
    </r>
    <r>
      <rPr>
        <sz val="11"/>
        <color rgb="FF000000"/>
        <rFont val="WenQuanYi Zen Hei"/>
        <family val="2"/>
      </rPr>
      <t xml:space="preserve">以降にパート採用</t>
    </r>
  </si>
  <si>
    <r>
      <rPr>
        <sz val="11"/>
        <color rgb="FF000000"/>
        <rFont val="WenQuanYi Zen Hei"/>
        <family val="2"/>
      </rPr>
      <t xml:space="preserve">生活支援員等</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を維持するよう自動算出</t>
    </r>
    <r>
      <rPr>
        <sz val="11"/>
        <color rgb="FF000000"/>
        <rFont val="Arial"/>
        <family val="0"/>
        <charset val="1"/>
      </rPr>
      <t xml:space="preserve">)</t>
    </r>
  </si>
  <si>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人員配置体制加算Ⅰの配置水準</t>
    </r>
    <r>
      <rPr>
        <sz val="11"/>
        <color rgb="FF000000"/>
        <rFont val="Arial"/>
        <family val="0"/>
        <charset val="1"/>
      </rPr>
      <t xml:space="preserve">)</t>
    </r>
    <r>
      <rPr>
        <sz val="11"/>
        <color rgb="FF000000"/>
        <rFont val="WenQuanYi Zen Hei"/>
        <family val="2"/>
      </rPr>
      <t xml:space="preserve">を維持できるよう、年次利用者数の中央値から自動算出。端数は非常勤の組み合わせで充当</t>
    </r>
  </si>
  <si>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定額。人数によらず固定</t>
    </r>
    <r>
      <rPr>
        <sz val="11"/>
        <color rgb="FF000000"/>
        <rFont val="Arial"/>
        <family val="0"/>
        <charset val="1"/>
      </rPr>
      <t xml:space="preserve">)</t>
    </r>
  </si>
  <si>
    <r>
      <rPr>
        <sz val="11"/>
        <color rgb="FF000000"/>
        <rFont val="WenQuanYi Zen Hei"/>
        <family val="2"/>
      </rPr>
      <t xml:space="preserve">生活支援員等のシフト内での輪番対応を基本とし、早朝・夕方帯の割増手当として計上</t>
    </r>
    <r>
      <rPr>
        <sz val="11"/>
        <color rgb="FF000000"/>
        <rFont val="Arial"/>
        <family val="0"/>
        <charset val="1"/>
      </rPr>
      <t xml:space="preserve">(</t>
    </r>
    <r>
      <rPr>
        <sz val="11"/>
        <color rgb="FF000000"/>
        <rFont val="WenQuanYi Zen Hei"/>
        <family val="2"/>
      </rPr>
      <t xml:space="preserve">規模によらず定額</t>
    </r>
    <r>
      <rPr>
        <sz val="11"/>
        <color rgb="FF000000"/>
        <rFont val="Arial"/>
        <family val="0"/>
        <charset val="1"/>
      </rPr>
      <t xml:space="preserve">)</t>
    </r>
  </si>
  <si>
    <r>
      <rPr>
        <b val="true"/>
        <sz val="11"/>
        <rFont val="WenQuanYi Zen Hei"/>
        <family val="2"/>
      </rPr>
      <t xml:space="preserve">合計人数</t>
    </r>
    <r>
      <rPr>
        <b val="true"/>
        <sz val="11"/>
        <rFont val="Arial"/>
        <family val="0"/>
        <charset val="1"/>
      </rPr>
      <t xml:space="preserve">(</t>
    </r>
    <r>
      <rPr>
        <b val="true"/>
        <sz val="11"/>
        <rFont val="WenQuanYi Zen Hei"/>
        <family val="2"/>
      </rPr>
      <t xml:space="preserve">常勤換算。送迎手当を除く実人員</t>
    </r>
    <r>
      <rPr>
        <b val="true"/>
        <sz val="11"/>
        <rFont val="Arial"/>
        <family val="0"/>
        <charset val="1"/>
      </rPr>
      <t xml:space="preserve">)</t>
    </r>
  </si>
  <si>
    <r>
      <rPr>
        <b val="true"/>
        <sz val="11"/>
        <rFont val="WenQuanYi Zen Hei"/>
        <family val="2"/>
      </rPr>
      <t xml:space="preserve">【年間人件費</t>
    </r>
    <r>
      <rPr>
        <b val="true"/>
        <sz val="11"/>
        <rFont val="Arial"/>
        <family val="0"/>
        <charset val="1"/>
      </rPr>
      <t xml:space="preserve">(</t>
    </r>
    <r>
      <rPr>
        <b val="true"/>
        <sz val="11"/>
        <rFont val="WenQuanYi Zen Hei"/>
        <family val="2"/>
      </rPr>
      <t xml:space="preserve">円</t>
    </r>
    <r>
      <rPr>
        <b val="true"/>
        <sz val="11"/>
        <rFont val="Arial"/>
        <family val="0"/>
        <charset val="1"/>
      </rPr>
      <t xml:space="preserve">)</t>
    </r>
    <r>
      <rPr>
        <b val="true"/>
        <sz val="11"/>
        <rFont val="WenQuanYi Zen Hei"/>
        <family val="2"/>
      </rPr>
      <t xml:space="preserve">】</t>
    </r>
  </si>
  <si>
    <t xml:space="preserve">管理者兼サービス管理責任者</t>
  </si>
  <si>
    <t xml:space="preserve">看護職員</t>
  </si>
  <si>
    <t xml:space="preserve">事務員</t>
  </si>
  <si>
    <t xml:space="preserve">生活支援員等</t>
  </si>
  <si>
    <t xml:space="preserve">送迎対応 割増手当</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</si>
  <si>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</si>
  <si>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</si>
  <si>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</si>
  <si>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</si>
  <si>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</si>
  <si>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</si>
  <si>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</si>
  <si>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</si>
  <si>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</si>
  <si>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</si>
  <si>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</si>
  <si>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</si>
  <si>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</si>
  <si>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</si>
  <si>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</si>
  <si>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</si>
  <si>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</si>
  <si>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</si>
  <si>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</si>
  <si>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</si>
  <si>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優先順、経営方針決定〈理念優先〉を反映</t>
    </r>
    <r>
      <rPr>
        <sz val="11"/>
        <color theme="1"/>
        <rFont val="Calibri"/>
        <family val="2"/>
        <charset val="1"/>
      </rPr>
      <t xml:space="preserve">): ①</t>
    </r>
    <r>
      <rPr>
        <sz val="11"/>
        <color theme="1"/>
        <rFont val="WenQuanYi Zen Hei"/>
        <family val="2"/>
      </rPr>
      <t xml:space="preserve">人員配置体制加算Ⅲの取得</t>
    </r>
    <r>
      <rPr>
        <sz val="11"/>
        <color theme="1"/>
        <rFont val="Calibri"/>
        <family val="2"/>
        <charset val="1"/>
      </rPr>
      <t xml:space="preserve">(</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年シートに反映済み。</t>
    </r>
    <r>
      <rPr>
        <sz val="11"/>
        <color theme="1"/>
        <rFont val="Calibri"/>
        <family val="2"/>
        <charset val="1"/>
      </rPr>
      <t xml:space="preserve">Year3</t>
    </r>
    <r>
      <rPr>
        <sz val="11"/>
        <color theme="1"/>
        <rFont val="WenQuanYi Zen Hei"/>
        <family val="2"/>
      </rPr>
      <t xml:space="preserve">以降で発動</t>
    </r>
    <r>
      <rPr>
        <sz val="11"/>
        <color theme="1"/>
        <rFont val="Calibri"/>
        <family val="2"/>
        <charset val="1"/>
      </rPr>
      <t xml:space="preserve">)</t>
    </r>
    <r>
      <rPr>
        <sz val="11"/>
        <color theme="1"/>
        <rFont val="WenQuanYi Zen Hei"/>
        <family val="2"/>
      </rPr>
      <t xml:space="preserve">に加え、重度障害者支援加算Ⅲ等の取り漏れ加算の追加取得を検討する</t>
    </r>
    <r>
      <rPr>
        <sz val="11"/>
        <color theme="1"/>
        <rFont val="Calibri"/>
        <family val="2"/>
        <charset val="1"/>
      </rPr>
      <t xml:space="preserve">(</t>
    </r>
    <r>
      <rPr>
        <sz val="11"/>
        <color theme="1"/>
        <rFont val="WenQuanYi Zen Hei"/>
        <family val="2"/>
      </rPr>
      <t xml:space="preserve">人員配置を法定最低ラインへ圧縮するレバーは、理念実現を優先する経営方針により採用しない</t>
    </r>
    <r>
      <rPr>
        <sz val="11"/>
        <color theme="1"/>
        <rFont val="Calibri"/>
        <family val="2"/>
        <charset val="1"/>
      </rPr>
      <t xml:space="preserve">) ②</t>
    </r>
    <r>
      <rPr>
        <sz val="11"/>
        <color theme="1"/>
        <rFont val="WenQuanYi Zen Hei"/>
        <family val="2"/>
      </rPr>
      <t xml:space="preserve">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</si>
  <si>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</si>
  <si>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</si>
  <si>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</si>
  <si>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</si>
  <si>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</si>
  <si>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</si>
  <si>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</si>
  <si>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</si>
  <si>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</si>
  <si>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</si>
  <si>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</si>
  <si>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</si>
  <si>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</si>
  <si>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</si>
  <si>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</si>
  <si>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</si>
  <si>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</si>
  <si>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</si>
  <si>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</si>
  <si>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</si>
  <si>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</si>
  <si>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</si>
  <si>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</si>
  <si>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</si>
  <si>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</si>
  <si>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名が通所する前提となり非現実的なため、契約者数を月次で積み上げるモデルに置き換えた。改訂：丸山さんの実務感覚</t>
    </r>
    <r>
      <rPr>
        <sz val="11"/>
        <color theme="1"/>
        <rFont val="Calibri"/>
        <family val="2"/>
        <charset val="1"/>
      </rPr>
      <t xml:space="preserve">(Year1</t>
    </r>
    <r>
      <rPr>
        <sz val="11"/>
        <color theme="1"/>
        <rFont val="WenQuanYi Zen Hei"/>
        <family val="2"/>
      </rPr>
      <t xml:space="preserve">は利用者</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名を想定</t>
    </r>
    <r>
      <rPr>
        <sz val="11"/>
        <color theme="1"/>
        <rFont val="Calibri"/>
        <family val="2"/>
        <charset val="1"/>
      </rPr>
      <t xml:space="preserve">)</t>
    </r>
    <r>
      <rPr>
        <sz val="11"/>
        <color theme="1"/>
        <rFont val="WenQuanYi Zen Hei"/>
        <family val="2"/>
      </rPr>
      <t xml:space="preserve">を反映し、月次の積み上げペースを緩やかに是正。報酬入金は請求の翌々月中旬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</si>
  <si>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</si>
  <si>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</si>
  <si>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</si>
  <si>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</si>
  <si>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</si>
  <si>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</si>
  <si>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</si>
  <si>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</si>
  <si>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</si>
  <si>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</si>
  <si>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</si>
  <si>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</si>
  <si>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</si>
  <si>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</si>
  <si>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</si>
  <si>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</si>
  <si>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</si>
  <si>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</si>
  <si>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</si>
  <si>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</si>
  <si>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</si>
  <si>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</si>
  <si>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</si>
  <si>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</si>
  <si>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</si>
  <si>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</si>
  <si>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人。「前提条件」シートの年次利用者数〈丸山さんの想定レンジの中央値〉を参照</t>
    </r>
    <r>
      <rPr>
        <sz val="11"/>
        <color rgb="FF000000"/>
        <rFont val="Arial"/>
        <family val="0"/>
        <charset val="1"/>
      </rPr>
      <t xml:space="preserve">)</t>
    </r>
  </si>
  <si>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参考。平均利用者数</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</si>
  <si>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</si>
  <si>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</si>
  <si>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</si>
  <si>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</si>
  <si>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</si>
  <si>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</si>
  <si>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</si>
  <si>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</si>
  <si>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r>
      <rPr>
        <sz val="11"/>
        <color rgb="FF000000"/>
        <rFont val="WenQuanYi Zen Hei"/>
        <family val="2"/>
      </rPr>
      <t xml:space="preserve">福祉専門職員配置等加算収入</t>
    </r>
    <r>
      <rPr>
        <sz val="11"/>
        <color rgb="FF000000"/>
        <rFont val="Arial"/>
        <family val="0"/>
        <charset val="1"/>
      </rPr>
      <t xml:space="preserve">(</t>
    </r>
    <r>
      <rPr>
        <sz val="11"/>
        <color rgb="FF000000"/>
        <rFont val="WenQuanYi Zen Hei"/>
        <family val="2"/>
      </rPr>
      <t xml:space="preserve">有資格者比率要件、追加人件費なしで取得可</t>
    </r>
    <r>
      <rPr>
        <sz val="11"/>
        <color rgb="FF000000"/>
        <rFont val="Arial"/>
        <family val="0"/>
        <charset val="1"/>
      </rPr>
      <t xml:space="preserve">)</t>
    </r>
  </si>
  <si>
    <r>
      <rPr>
        <sz val="11"/>
        <color rgb="FF000000"/>
        <rFont val="WenQuanYi Zen Hei"/>
        <family val="2"/>
      </rPr>
      <t xml:space="preserve">人員配置体制加算Ⅰ収入</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を開所当初から維持する設計のため、正式な収入源として算入</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</si>
  <si>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</si>
  <si>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</si>
  <si>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法定福利費込。「人件費」シートの段階採用モデル〈配置比率</t>
    </r>
    <r>
      <rPr>
        <sz val="11"/>
        <color rgb="FF000000"/>
        <rFont val="Arial"/>
        <family val="0"/>
        <charset val="1"/>
      </rPr>
      <t xml:space="preserve">1.5:1</t>
    </r>
    <r>
      <rPr>
        <sz val="11"/>
        <color rgb="FF000000"/>
        <rFont val="WenQuanYi Zen Hei"/>
        <family val="2"/>
      </rPr>
      <t xml:space="preserve">を維持〉を年ごとに参照</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</si>
  <si>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</si>
  <si>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</si>
  <si>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</si>
  <si>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</si>
  <si>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</si>
  <si>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</si>
  <si>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</si>
  <si>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</si>
  <si>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</si>
  <si>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</si>
  <si>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</si>
  <si>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</si>
  <si>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</si>
  <si>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</si>
  <si>
    <t xml:space="preserve">加算フル活用シナリオ ― 重度障害者支援加算の損益分岐試算</t>
  </si>
  <si>
    <r>
      <rPr>
        <sz val="11"/>
        <color theme="1"/>
        <rFont val="WenQuanYi Zen Hei"/>
        <family val="2"/>
      </rPr>
      <t xml:space="preserve">改訂：丸山さんの実務想定</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章、段階採用モデル</t>
    </r>
    <r>
      <rPr>
        <sz val="11"/>
        <color theme="1"/>
        <rFont val="Calibri"/>
        <family val="2"/>
        <charset val="1"/>
      </rPr>
      <t xml:space="preserve">)</t>
    </r>
    <r>
      <rPr>
        <sz val="11"/>
        <color theme="1"/>
        <rFont val="WenQuanYi Zen Hei"/>
        <family val="2"/>
      </rPr>
      <t xml:space="preserve">により、配置比率</t>
    </r>
    <r>
      <rPr>
        <sz val="11"/>
        <color theme="1"/>
        <rFont val="Calibri"/>
        <family val="2"/>
        <charset val="1"/>
      </rPr>
      <t xml:space="preserve">1.5:1(</t>
    </r>
    <r>
      <rPr>
        <sz val="11"/>
        <color theme="1"/>
        <rFont val="WenQuanYi Zen Hei"/>
        <family val="2"/>
      </rPr>
      <t xml:space="preserve">人員配置体制加算Ⅰの配置水準</t>
    </r>
    <r>
      <rPr>
        <sz val="11"/>
        <color theme="1"/>
        <rFont val="Calibri"/>
        <family val="2"/>
        <charset val="1"/>
      </rPr>
      <t xml:space="preserve">)</t>
    </r>
    <r>
      <rPr>
        <sz val="11"/>
        <color theme="1"/>
        <rFont val="WenQuanYi Zen Hei"/>
        <family val="2"/>
      </rPr>
      <t xml:space="preserve">を開所当初からの目標として維持することにしたため、人員配置体制加算はもはや「追加で目指すかどうか」の検討対象ではなく、「収支計画</t>
    </r>
    <r>
      <rPr>
        <sz val="11"/>
        <color theme="1"/>
        <rFont val="Calibri"/>
        <family val="2"/>
        <charset val="1"/>
      </rPr>
      <t xml:space="preserve">5</t>
    </r>
    <r>
      <rPr>
        <sz val="11"/>
        <color theme="1"/>
        <rFont val="WenQuanYi Zen Hei"/>
        <family val="2"/>
      </rPr>
      <t xml:space="preserve">年」シートの基本ケースに正式算入済みである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10-1</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。本シートでは、それとは別に独立した加算である重度障害者支援加算</t>
    </r>
    <r>
      <rPr>
        <sz val="11"/>
        <color theme="1"/>
        <rFont val="Calibri"/>
        <family val="2"/>
        <charset val="1"/>
      </rPr>
      <t xml:space="preserve">(</t>
    </r>
    <r>
      <rPr>
        <sz val="11"/>
        <color theme="1"/>
        <rFont val="WenQuanYi Zen Hei"/>
        <family val="2"/>
      </rPr>
      <t xml:space="preserve">該当者の受け入れが前提</t>
    </r>
    <r>
      <rPr>
        <sz val="11"/>
        <color theme="1"/>
        <rFont val="Calibri"/>
        <family val="2"/>
        <charset val="1"/>
      </rPr>
      <t xml:space="preserve">)</t>
    </r>
    <r>
      <rPr>
        <sz val="11"/>
        <color theme="1"/>
        <rFont val="WenQuanYi Zen Hei"/>
        <family val="2"/>
      </rPr>
      <t xml:space="preserve">のみを試算する。単位数・要件は公表情報からの概算であり、広島市提示の最新単価表・算定要件で必ず確認すること</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t>
    </r>
  </si>
  <si>
    <r>
      <rPr>
        <b val="true"/>
        <sz val="11"/>
        <rFont val="WenQuanYi Zen Hei"/>
        <family val="2"/>
      </rPr>
      <t xml:space="preserve">【試算の前提</t>
    </r>
    <r>
      <rPr>
        <b val="true"/>
        <sz val="11"/>
        <rFont val="Arial"/>
        <family val="0"/>
        <charset val="1"/>
      </rPr>
      <t xml:space="preserve">(Year5</t>
    </r>
    <r>
      <rPr>
        <b val="true"/>
        <sz val="11"/>
        <rFont val="WenQuanYi Zen Hei"/>
        <family val="2"/>
      </rPr>
      <t xml:space="preserve">時点</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</si>
  <si>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(Year5)</t>
    </r>
  </si>
  <si>
    <t xml:space="preserve">人</t>
  </si>
  <si>
    <t xml:space="preserve">日</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</si>
  <si>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t>
    </r>
  </si>
  <si>
    <r>
      <rPr>
        <sz val="11"/>
        <color rgb="FF000000"/>
        <rFont val="WenQuanYi Zen Hei"/>
        <family val="2"/>
      </rPr>
      <t xml:space="preserve">生活支援員 年間人件費単価</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</si>
  <si>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人</t>
    </r>
  </si>
  <si>
    <r>
      <rPr>
        <b val="true"/>
        <sz val="11"/>
        <rFont val="WenQuanYi Zen Hei"/>
        <family val="2"/>
      </rPr>
      <t xml:space="preserve">【重度障害者支援加算</t>
    </r>
    <r>
      <rPr>
        <b val="true"/>
        <sz val="11"/>
        <rFont val="Arial"/>
        <family val="0"/>
        <charset val="1"/>
      </rPr>
      <t xml:space="preserve">(</t>
    </r>
    <r>
      <rPr>
        <b val="true"/>
        <sz val="11"/>
        <rFont val="WenQuanYi Zen Hei"/>
        <family val="2"/>
      </rPr>
      <t xml:space="preserve">該当者の受け入れが前提。追加人件費は原則不要</t>
    </r>
    <r>
      <rPr>
        <b val="true"/>
        <sz val="11"/>
        <rFont val="Arial"/>
        <family val="0"/>
        <charset val="1"/>
      </rPr>
      <t xml:space="preserve">)</t>
    </r>
    <r>
      <rPr>
        <b val="true"/>
        <sz val="11"/>
        <rFont val="WenQuanYi Zen Hei"/>
        <family val="2"/>
      </rPr>
      <t xml:space="preserve">】</t>
    </r>
  </si>
  <si>
    <t xml:space="preserve">区分</t>
  </si>
  <si>
    <r>
      <rPr>
        <b val="true"/>
        <sz val="11"/>
        <color rgb="FFFFFFFF"/>
        <rFont val="WenQuanYi Zen Hei"/>
        <family val="2"/>
      </rPr>
      <t xml:space="preserve">単位数</t>
    </r>
    <r>
      <rPr>
        <b val="true"/>
        <sz val="11"/>
        <color rgb="FFFFFFFF"/>
        <rFont val="Arial"/>
        <family val="0"/>
        <charset val="1"/>
      </rPr>
      <t xml:space="preserve">(</t>
    </r>
    <r>
      <rPr>
        <b val="true"/>
        <sz val="11"/>
        <color rgb="FFFFFFFF"/>
        <rFont val="WenQuanYi Zen Hei"/>
        <family val="2"/>
      </rPr>
      <t xml:space="preserve">要確認</t>
    </r>
    <r>
      <rPr>
        <b val="true"/>
        <sz val="11"/>
        <color rgb="FFFFFFFF"/>
        <rFont val="Arial"/>
        <family val="0"/>
        <charset val="1"/>
      </rPr>
      <t xml:space="preserve">)</t>
    </r>
  </si>
  <si>
    <r>
      <rPr>
        <b val="true"/>
        <sz val="11"/>
        <color rgb="FFFFFFFF"/>
        <rFont val="WenQuanYi Zen Hei"/>
        <family val="2"/>
      </rPr>
      <t xml:space="preserve">該当者数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</si>
  <si>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年、概算</t>
    </r>
    <r>
      <rPr>
        <b val="true"/>
        <sz val="11"/>
        <color rgb="FFFFFFFF"/>
        <rFont val="Arial"/>
        <family val="0"/>
        <charset val="1"/>
      </rPr>
      <t xml:space="preserve">)</t>
    </r>
  </si>
  <si>
    <r>
      <rPr>
        <b val="true"/>
        <sz val="11"/>
        <color rgb="FFFFFFFF"/>
        <rFont val="WenQuanYi Zen Hei"/>
        <family val="2"/>
      </rPr>
      <t xml:space="preserve">追加収入</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</si>
  <si>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差引効果</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</si>
  <si>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区分</t>
    </r>
    <r>
      <rPr>
        <sz val="11"/>
        <color rgb="FF000000"/>
        <rFont val="Arial"/>
        <family val="0"/>
        <charset val="1"/>
      </rPr>
      <t xml:space="preserve">6</t>
    </r>
    <r>
      <rPr>
        <sz val="11"/>
        <color rgb="FF000000"/>
        <rFont val="WenQuanYi Zen Hei"/>
        <family val="2"/>
      </rPr>
      <t xml:space="preserve">かつ行動関連項目</t>
    </r>
    <r>
      <rPr>
        <sz val="11"/>
        <color rgb="FF000000"/>
        <rFont val="Arial"/>
        <family val="0"/>
        <charset val="1"/>
      </rPr>
      <t xml:space="preserve">10</t>
    </r>
    <r>
      <rPr>
        <sz val="11"/>
        <color rgb="FF000000"/>
        <rFont val="WenQuanYi Zen Hei"/>
        <family val="2"/>
      </rPr>
      <t xml:space="preserve">点以上</t>
    </r>
    <r>
      <rPr>
        <sz val="11"/>
        <color rgb="FF000000"/>
        <rFont val="Arial"/>
        <family val="0"/>
        <charset val="1"/>
      </rPr>
      <t xml:space="preserve">)</t>
    </r>
  </si>
  <si>
    <r>
      <rPr>
        <sz val="11"/>
        <color theme="1"/>
        <rFont val="WenQuanYi Zen Hei"/>
        <family val="2"/>
      </rPr>
      <t xml:space="preserve">※要件：生活支援員の</t>
    </r>
    <r>
      <rPr>
        <sz val="11"/>
        <color theme="1"/>
        <rFont val="Calibri"/>
        <family val="2"/>
        <charset val="1"/>
      </rPr>
      <t xml:space="preserve">20%</t>
    </r>
    <r>
      <rPr>
        <sz val="11"/>
        <color theme="1"/>
        <rFont val="WenQuanYi Zen Hei"/>
        <family val="2"/>
      </rPr>
      <t xml:space="preserve">以上が強度行動障害支援者養成研修</t>
    </r>
    <r>
      <rPr>
        <sz val="11"/>
        <color theme="1"/>
        <rFont val="Calibri"/>
        <family val="2"/>
        <charset val="1"/>
      </rPr>
      <t xml:space="preserve">(</t>
    </r>
    <r>
      <rPr>
        <sz val="11"/>
        <color theme="1"/>
        <rFont val="WenQuanYi Zen Hei"/>
        <family val="2"/>
      </rPr>
      <t xml:space="preserve">基礎研修</t>
    </r>
    <r>
      <rPr>
        <sz val="11"/>
        <color theme="1"/>
        <rFont val="Calibri"/>
        <family val="2"/>
        <charset val="1"/>
      </rPr>
      <t xml:space="preserve">)</t>
    </r>
    <r>
      <rPr>
        <sz val="11"/>
        <color theme="1"/>
        <rFont val="WenQuanYi Zen Hei"/>
        <family val="2"/>
      </rPr>
      <t xml:space="preserve">修了者であること、サービス管理責任者又は生活支援員</t>
    </r>
    <r>
      <rPr>
        <sz val="11"/>
        <color theme="1"/>
        <rFont val="Calibri"/>
        <family val="2"/>
        <charset val="1"/>
      </rPr>
      <t xml:space="preserve">1</t>
    </r>
    <r>
      <rPr>
        <sz val="11"/>
        <color theme="1"/>
        <rFont val="WenQuanYi Zen Hei"/>
        <family val="2"/>
      </rPr>
      <t xml:space="preserve">名以上が実践研修修了者であること</t>
    </r>
    <r>
      <rPr>
        <sz val="11"/>
        <color theme="1"/>
        <rFont val="Calibri"/>
        <family val="2"/>
        <charset val="1"/>
      </rPr>
      <t xml:space="preserve">(</t>
    </r>
    <r>
      <rPr>
        <sz val="11"/>
        <color theme="1"/>
        <rFont val="WenQuanYi Zen Hei"/>
        <family val="2"/>
      </rPr>
      <t xml:space="preserve">丸山氏または生活支援員の研修受講で対応可、追加人件費は原則不要と想定</t>
    </r>
    <r>
      <rPr>
        <sz val="11"/>
        <color theme="1"/>
        <rFont val="Calibri"/>
        <family val="2"/>
        <charset val="1"/>
      </rPr>
      <t xml:space="preserve">)</t>
    </r>
    <r>
      <rPr>
        <sz val="11"/>
        <color theme="1"/>
        <rFont val="WenQuanYi Zen Hei"/>
        <family val="2"/>
      </rPr>
      <t xml:space="preserve">。該当者数は「区分</t>
    </r>
    <r>
      <rPr>
        <sz val="11"/>
        <color theme="1"/>
        <rFont val="Calibri"/>
        <family val="2"/>
        <charset val="1"/>
      </rPr>
      <t xml:space="preserve">6</t>
    </r>
    <r>
      <rPr>
        <sz val="11"/>
        <color theme="1"/>
        <rFont val="WenQuanYi Zen Hei"/>
        <family val="2"/>
      </rPr>
      <t xml:space="preserve">かつ行動関連項目</t>
    </r>
    <r>
      <rPr>
        <sz val="11"/>
        <color theme="1"/>
        <rFont val="Calibri"/>
        <family val="2"/>
        <charset val="1"/>
      </rPr>
      <t xml:space="preserve">10</t>
    </r>
    <r>
      <rPr>
        <sz val="11"/>
        <color theme="1"/>
        <rFont val="WenQuanYi Zen Hei"/>
        <family val="2"/>
      </rPr>
      <t xml:space="preserve">点以上」の利用者の受け入れ見込みであり、営業活動</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の結果次第で変動する。加算算定開始から</t>
    </r>
    <r>
      <rPr>
        <sz val="11"/>
        <color theme="1"/>
        <rFont val="Calibri"/>
        <family val="2"/>
        <charset val="1"/>
      </rPr>
      <t xml:space="preserve">180</t>
    </r>
    <r>
      <rPr>
        <sz val="11"/>
        <color theme="1"/>
        <rFont val="WenQuanYi Zen Hei"/>
        <family val="2"/>
      </rPr>
      <t xml:space="preserve">日以内はさらに上乗せがある制度になっているため、実際にはこれより上振れる可能性がある。</t>
    </r>
  </si>
  <si>
    <r>
      <rPr>
        <b val="true"/>
        <sz val="14"/>
        <rFont val="WenQuanYi Zen Hei"/>
        <family val="2"/>
      </rPr>
      <t xml:space="preserve">配置比率シナリオ比較 ― </t>
    </r>
    <r>
      <rPr>
        <b val="true"/>
        <sz val="14"/>
        <rFont val="Arial"/>
        <family val="0"/>
        <charset val="1"/>
      </rPr>
      <t xml:space="preserve">1.5:1(</t>
    </r>
    <r>
      <rPr>
        <b val="true"/>
        <sz val="14"/>
        <rFont val="WenQuanYi Zen Hei"/>
        <family val="2"/>
      </rPr>
      <t xml:space="preserve">採用中</t>
    </r>
    <r>
      <rPr>
        <b val="true"/>
        <sz val="14"/>
        <rFont val="Arial"/>
        <family val="0"/>
        <charset val="1"/>
      </rPr>
      <t xml:space="preserve">)</t>
    </r>
    <r>
      <rPr>
        <b val="true"/>
        <sz val="14"/>
        <rFont val="WenQuanYi Zen Hei"/>
        <family val="2"/>
      </rPr>
      <t xml:space="preserve">と</t>
    </r>
    <r>
      <rPr>
        <b val="true"/>
        <sz val="14"/>
        <rFont val="Arial"/>
        <family val="0"/>
        <charset val="1"/>
      </rPr>
      <t xml:space="preserve">3:1</t>
    </r>
    <r>
      <rPr>
        <b val="true"/>
        <sz val="14"/>
        <rFont val="WenQuanYi Zen Hei"/>
        <family val="2"/>
      </rPr>
      <t xml:space="preserve">法定最低</t>
    </r>
    <r>
      <rPr>
        <b val="true"/>
        <sz val="14"/>
        <rFont val="Arial"/>
        <family val="0"/>
        <charset val="1"/>
      </rPr>
      <t xml:space="preserve">(</t>
    </r>
    <r>
      <rPr>
        <b val="true"/>
        <sz val="14"/>
        <rFont val="WenQuanYi Zen Hei"/>
        <family val="2"/>
      </rPr>
      <t xml:space="preserve">参考</t>
    </r>
    <r>
      <rPr>
        <b val="true"/>
        <sz val="14"/>
        <rFont val="Arial"/>
        <family val="0"/>
        <charset val="1"/>
      </rPr>
      <t xml:space="preserve">)</t>
    </r>
    <r>
      <rPr>
        <b val="true"/>
        <sz val="14"/>
        <rFont val="WenQuanYi Zen Hei"/>
        <family val="2"/>
      </rPr>
      <t xml:space="preserve">の試算</t>
    </r>
  </si>
  <si>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章で、丸山さんの実務感覚に基づき、配置比率</t>
    </r>
    <r>
      <rPr>
        <sz val="11"/>
        <color theme="1"/>
        <rFont val="Calibri"/>
        <family val="2"/>
        <charset val="1"/>
      </rPr>
      <t xml:space="preserve">1.5:1(</t>
    </r>
    <r>
      <rPr>
        <sz val="11"/>
        <color theme="1"/>
        <rFont val="WenQuanYi Zen Hei"/>
        <family val="2"/>
      </rPr>
      <t xml:space="preserve">人員配置体制加算Ⅰの配置水準</t>
    </r>
    <r>
      <rPr>
        <sz val="11"/>
        <color theme="1"/>
        <rFont val="Calibri"/>
        <family val="2"/>
        <charset val="1"/>
      </rPr>
      <t xml:space="preserve">)</t>
    </r>
    <r>
      <rPr>
        <sz val="11"/>
        <color theme="1"/>
        <rFont val="WenQuanYi Zen Hei"/>
        <family val="2"/>
      </rPr>
      <t xml:space="preserve">を開所当初からの目標とする段階採用モデルを正式に採用した。本シートは、もし法定最低ライン</t>
    </r>
    <r>
      <rPr>
        <sz val="11"/>
        <color theme="1"/>
        <rFont val="Calibri"/>
        <family val="2"/>
        <charset val="1"/>
      </rPr>
      <t xml:space="preserve">(3:1)</t>
    </r>
    <r>
      <rPr>
        <sz val="11"/>
        <color theme="1"/>
        <rFont val="WenQuanYi Zen Hei"/>
        <family val="2"/>
      </rPr>
      <t xml:space="preserve">まで人員配置を圧縮していた場合の試算を、参考として並べたものである</t>
    </r>
    <r>
      <rPr>
        <sz val="11"/>
        <color theme="1"/>
        <rFont val="Calibri"/>
        <family val="2"/>
        <charset val="1"/>
      </rPr>
      <t xml:space="preserve">(</t>
    </r>
    <r>
      <rPr>
        <sz val="11"/>
        <color theme="1"/>
        <rFont val="WenQuanYi Zen Hei"/>
        <family val="2"/>
      </rPr>
      <t xml:space="preserve">利用者数の想定は両ケースで同一</t>
    </r>
    <r>
      <rPr>
        <sz val="11"/>
        <color theme="1"/>
        <rFont val="Calibri"/>
        <family val="2"/>
        <charset val="1"/>
      </rPr>
      <t xml:space="preserve">)</t>
    </r>
    <r>
      <rPr>
        <sz val="11"/>
        <color theme="1"/>
        <rFont val="WenQuanYi Zen Hei"/>
        <family val="2"/>
      </rPr>
      <t xml:space="preserve">。現時点の正式な採用シナリオは</t>
    </r>
    <r>
      <rPr>
        <sz val="11"/>
        <color theme="1"/>
        <rFont val="Calibri"/>
        <family val="2"/>
        <charset val="1"/>
      </rPr>
      <t xml:space="preserve">1.5:1</t>
    </r>
    <r>
      <rPr>
        <sz val="11"/>
        <color theme="1"/>
        <rFont val="WenQuanYi Zen Hei"/>
        <family val="2"/>
      </rPr>
      <t xml:space="preserve">であり、下記の</t>
    </r>
    <r>
      <rPr>
        <sz val="11"/>
        <color theme="1"/>
        <rFont val="Calibri"/>
        <family val="2"/>
        <charset val="1"/>
      </rPr>
      <t xml:space="preserve">3:1</t>
    </r>
    <r>
      <rPr>
        <sz val="11"/>
        <color theme="1"/>
        <rFont val="WenQuanYi Zen Hei"/>
        <family val="2"/>
      </rPr>
      <t xml:space="preserve">シナリオは意思決定の材料としての比較であって、計画の変更ではない。</t>
    </r>
  </si>
  <si>
    <r>
      <rPr>
        <b val="true"/>
        <sz val="11"/>
        <rFont val="WenQuanYi Zen Hei"/>
        <family val="2"/>
      </rPr>
      <t xml:space="preserve">【前提】</t>
    </r>
    <r>
      <rPr>
        <b val="true"/>
        <sz val="11"/>
        <rFont val="Arial"/>
        <family val="0"/>
        <charset val="1"/>
      </rPr>
      <t xml:space="preserve">3:1</t>
    </r>
    <r>
      <rPr>
        <b val="true"/>
        <sz val="11"/>
        <rFont val="WenQuanYi Zen Hei"/>
        <family val="2"/>
      </rPr>
      <t xml:space="preserve">シナリオ＝生活支援員等の人数だけを法定最低ライン相当に置き換え</t>
    </r>
    <r>
      <rPr>
        <b val="true"/>
        <sz val="11"/>
        <rFont val="Arial"/>
        <family val="0"/>
        <charset val="1"/>
      </rPr>
      <t xml:space="preserve">(</t>
    </r>
    <r>
      <rPr>
        <b val="true"/>
        <sz val="11"/>
        <rFont val="WenQuanYi Zen Hei"/>
        <family val="2"/>
      </rPr>
      <t xml:space="preserve">管理者・看護・</t>
    </r>
    <r>
      <rPr>
        <b val="true"/>
        <sz val="11"/>
        <rFont val="Arial"/>
        <family val="0"/>
        <charset val="1"/>
      </rPr>
      <t xml:space="preserve">PT/OT</t>
    </r>
    <r>
      <rPr>
        <b val="true"/>
        <sz val="11"/>
        <rFont val="WenQuanYi Zen Hei"/>
        <family val="2"/>
      </rPr>
      <t xml:space="preserve">・事務員は同一</t>
    </r>
    <r>
      <rPr>
        <b val="true"/>
        <sz val="11"/>
        <rFont val="Arial"/>
        <family val="0"/>
        <charset val="1"/>
      </rPr>
      <t xml:space="preserve">)</t>
    </r>
    <r>
      <rPr>
        <b val="true"/>
        <sz val="11"/>
        <rFont val="WenQuanYi Zen Hei"/>
        <family val="2"/>
      </rPr>
      <t xml:space="preserve">。</t>
    </r>
    <r>
      <rPr>
        <b val="true"/>
        <sz val="11"/>
        <rFont val="Arial"/>
        <family val="0"/>
        <charset val="1"/>
      </rPr>
      <t xml:space="preserve">3:1</t>
    </r>
    <r>
      <rPr>
        <b val="true"/>
        <sz val="11"/>
        <rFont val="WenQuanYi Zen Hei"/>
        <family val="2"/>
      </rPr>
      <t xml:space="preserve">では人員配置体制加算Ⅰの配置要件を満たさないため、当該加算収入は対象外</t>
    </r>
  </si>
  <si>
    <r>
      <rPr>
        <sz val="11"/>
        <color rgb="FF000000"/>
        <rFont val="WenQuanYi Zen Hei"/>
        <family val="2"/>
      </rPr>
      <t xml:space="preserve">法定最低ラインの配置比率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</si>
  <si>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WenQuanYi Zen Hei"/>
        <family val="2"/>
      </rPr>
      <t xml:space="preserve">看護職員・</t>
    </r>
    <r>
      <rPr>
        <sz val="11"/>
        <color rgb="FF000000"/>
        <rFont val="Arial"/>
        <family val="0"/>
        <charset val="1"/>
      </rPr>
      <t xml:space="preserve">PT/OT</t>
    </r>
    <r>
      <rPr>
        <sz val="11"/>
        <color rgb="FF000000"/>
        <rFont val="WenQuanYi Zen Hei"/>
        <family val="2"/>
      </rPr>
      <t xml:space="preserve">・生活支援員等の合計で、この比率を満たせばよい</t>
    </r>
    <r>
      <rPr>
        <sz val="11"/>
        <color rgb="FF000000"/>
        <rFont val="Arial"/>
        <family val="0"/>
        <charset val="1"/>
      </rPr>
      <t xml:space="preserve">(3:1)</t>
    </r>
    <r>
      <rPr>
        <sz val="11"/>
        <color rgb="FF000000"/>
        <rFont val="WenQuanYi Zen Hei"/>
        <family val="2"/>
      </rPr>
      <t xml:space="preserve">。人員配置体制加算の対象にはならない水準。</t>
    </r>
  </si>
  <si>
    <r>
      <rPr>
        <sz val="11"/>
        <color rgb="FF000000"/>
        <rFont val="WenQuanYi Zen Hei"/>
        <family val="2"/>
      </rPr>
      <t xml:space="preserve">生活支援員等人数</t>
    </r>
    <r>
      <rPr>
        <sz val="11"/>
        <color rgb="FF000000"/>
        <rFont val="Arial"/>
        <family val="0"/>
        <charset val="1"/>
      </rPr>
      <t xml:space="preserve">(3:1</t>
    </r>
    <r>
      <rPr>
        <sz val="11"/>
        <color rgb="FF000000"/>
        <rFont val="WenQuanYi Zen Hei"/>
        <family val="2"/>
      </rPr>
      <t xml:space="preserve">シナリオ、自動算出</t>
    </r>
    <r>
      <rPr>
        <sz val="11"/>
        <color rgb="FF000000"/>
        <rFont val="Arial"/>
        <family val="0"/>
        <charset val="1"/>
      </rPr>
      <t xml:space="preserve">)</t>
    </r>
  </si>
  <si>
    <r>
      <rPr>
        <sz val="11"/>
        <color rgb="FF000000"/>
        <rFont val="WenQuanYi Zen Hei"/>
        <family val="2"/>
      </rPr>
      <t xml:space="preserve">年間人件費</t>
    </r>
    <r>
      <rPr>
        <sz val="11"/>
        <color rgb="FF000000"/>
        <rFont val="Arial"/>
        <family val="0"/>
        <charset val="1"/>
      </rPr>
      <t xml:space="preserve">(3:1</t>
    </r>
    <r>
      <rPr>
        <sz val="11"/>
        <color rgb="FF000000"/>
        <rFont val="WenQuanYi Zen Hei"/>
        <family val="2"/>
      </rPr>
      <t xml:space="preserve">シナリオ、法定福利費込</t>
    </r>
    <r>
      <rPr>
        <sz val="11"/>
        <color rgb="FF000000"/>
        <rFont val="Arial"/>
        <family val="0"/>
        <charset val="1"/>
      </rPr>
      <t xml:space="preserve">)</t>
    </r>
  </si>
  <si>
    <r>
      <rPr>
        <b val="true"/>
        <sz val="11"/>
        <color rgb="FFFFFFFF"/>
        <rFont val="WenQuanYi Zen Hei"/>
        <family val="2"/>
      </rPr>
      <t xml:space="preserve">項目</t>
    </r>
    <r>
      <rPr>
        <b val="true"/>
        <sz val="11"/>
        <color rgb="FFFFFFFF"/>
        <rFont val="Arial"/>
        <family val="0"/>
        <charset val="1"/>
      </rPr>
      <t xml:space="preserve">(</t>
    </r>
    <r>
      <rPr>
        <b val="true"/>
        <sz val="11"/>
        <color rgb="FFFFFFFF"/>
        <rFont val="WenQuanYi Zen Hei"/>
        <family val="2"/>
      </rPr>
      <t xml:space="preserve">営業利益</t>
    </r>
    <r>
      <rPr>
        <b val="true"/>
        <sz val="11"/>
        <color rgb="FFFFFFFF"/>
        <rFont val="Arial"/>
        <family val="0"/>
        <charset val="1"/>
      </rPr>
      <t xml:space="preserve">)</t>
    </r>
  </si>
  <si>
    <r>
      <rPr>
        <b val="true"/>
        <sz val="11"/>
        <rFont val="Arial"/>
        <family val="0"/>
        <charset val="1"/>
      </rPr>
      <t xml:space="preserve">①1.5:1(</t>
    </r>
    <r>
      <rPr>
        <b val="true"/>
        <sz val="11"/>
        <rFont val="WenQuanYi Zen Hei"/>
        <family val="2"/>
      </rPr>
      <t xml:space="preserve">採用中：「収支計画</t>
    </r>
    <r>
      <rPr>
        <b val="true"/>
        <sz val="11"/>
        <rFont val="Arial"/>
        <family val="0"/>
        <charset val="1"/>
      </rPr>
      <t xml:space="preserve">5</t>
    </r>
    <r>
      <rPr>
        <b val="true"/>
        <sz val="11"/>
        <rFont val="WenQuanYi Zen Hei"/>
        <family val="2"/>
      </rPr>
      <t xml:space="preserve">年」シートそのまま</t>
    </r>
    <r>
      <rPr>
        <b val="true"/>
        <sz val="11"/>
        <rFont val="Arial"/>
        <family val="0"/>
        <charset val="1"/>
      </rPr>
      <t xml:space="preserve">)</t>
    </r>
  </si>
  <si>
    <r>
      <rPr>
        <sz val="11"/>
        <color rgb="FF000000"/>
        <rFont val="Arial"/>
        <family val="0"/>
        <charset val="1"/>
      </rPr>
      <t xml:space="preserve">②3:1</t>
    </r>
    <r>
      <rPr>
        <sz val="11"/>
        <color rgb="FF000000"/>
        <rFont val="WenQuanYi Zen Hei"/>
        <family val="2"/>
      </rPr>
      <t xml:space="preserve">法定最低</t>
    </r>
    <r>
      <rPr>
        <sz val="11"/>
        <color rgb="FF000000"/>
        <rFont val="Arial"/>
        <family val="0"/>
        <charset val="1"/>
      </rPr>
      <t xml:space="preserve">(</t>
    </r>
    <r>
      <rPr>
        <sz val="11"/>
        <color rgb="FF000000"/>
        <rFont val="WenQuanYi Zen Hei"/>
        <family val="2"/>
      </rPr>
      <t xml:space="preserve">参考：加算Ⅰなし・人件費を</t>
    </r>
    <r>
      <rPr>
        <sz val="11"/>
        <color rgb="FF000000"/>
        <rFont val="Arial"/>
        <family val="0"/>
        <charset val="1"/>
      </rPr>
      <t xml:space="preserve">3:1</t>
    </r>
    <r>
      <rPr>
        <sz val="11"/>
        <color rgb="FF000000"/>
        <rFont val="WenQuanYi Zen Hei"/>
        <family val="2"/>
      </rPr>
      <t xml:space="preserve">相当に置換</t>
    </r>
    <r>
      <rPr>
        <sz val="11"/>
        <color rgb="FF000000"/>
        <rFont val="Arial"/>
        <family val="0"/>
        <charset val="1"/>
      </rPr>
      <t xml:space="preserve">)</t>
    </r>
  </si>
  <si>
    <r>
      <rPr>
        <sz val="11"/>
        <color theme="1"/>
        <rFont val="WenQuanYi Zen Hei"/>
        <family val="2"/>
      </rPr>
      <t xml:space="preserve">※②は①と同じ利用者数の伸びを前提に、生活支援員等の人数だけを</t>
    </r>
    <r>
      <rPr>
        <sz val="11"/>
        <color theme="1"/>
        <rFont val="Calibri"/>
        <family val="2"/>
        <charset val="1"/>
      </rPr>
      <t xml:space="preserve">3:1</t>
    </r>
    <r>
      <rPr>
        <sz val="11"/>
        <color theme="1"/>
        <rFont val="WenQuanYi Zen Hei"/>
        <family val="2"/>
      </rPr>
      <t xml:space="preserve">相当に置き換えた試算。人員配置体制加算Ⅰの配置要件を満たせなくなるため、当該加算収入も除外している。</t>
    </r>
  </si>
  <si>
    <r>
      <rPr>
        <b val="true"/>
        <sz val="11"/>
        <rFont val="WenQuanYi Zen Hei"/>
        <family val="2"/>
      </rPr>
      <t xml:space="preserve">【②</t>
    </r>
    <r>
      <rPr>
        <b val="true"/>
        <sz val="11"/>
        <rFont val="Arial"/>
        <family val="0"/>
        <charset val="1"/>
      </rPr>
      <t xml:space="preserve">3:1</t>
    </r>
    <r>
      <rPr>
        <b val="true"/>
        <sz val="11"/>
        <rFont val="WenQuanYi Zen Hei"/>
        <family val="2"/>
      </rPr>
      <t xml:space="preserve">法定最低シナリオの</t>
    </r>
    <r>
      <rPr>
        <b val="true"/>
        <sz val="11"/>
        <rFont val="Arial"/>
        <family val="0"/>
        <charset val="1"/>
      </rPr>
      <t xml:space="preserve">5</t>
    </r>
    <r>
      <rPr>
        <b val="true"/>
        <sz val="11"/>
        <rFont val="WenQuanYi Zen Hei"/>
        <family val="2"/>
      </rPr>
      <t xml:space="preserve">ヵ年資金試算】</t>
    </r>
  </si>
  <si>
    <r>
      <rPr>
        <sz val="11"/>
        <color rgb="FF000000"/>
        <rFont val="WenQuanYi Zen Hei"/>
        <family val="2"/>
      </rPr>
      <t xml:space="preserve">簡易キャッシュフロー</t>
    </r>
    <r>
      <rPr>
        <sz val="11"/>
        <color rgb="FF000000"/>
        <rFont val="Arial"/>
        <family val="0"/>
        <charset val="1"/>
      </rPr>
      <t xml:space="preserve">(②</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</si>
  <si>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単年キャッシュフロー</t>
    </r>
    <r>
      <rPr>
        <sz val="11"/>
        <color rgb="FF000000"/>
        <rFont val="Arial"/>
        <family val="0"/>
        <charset val="1"/>
      </rPr>
      <t xml:space="preserve">(</t>
    </r>
    <r>
      <rPr>
        <sz val="11"/>
        <color rgb="FF000000"/>
        <rFont val="WenQuanYi Zen Hei"/>
        <family val="2"/>
      </rPr>
      <t xml:space="preserve">融資返済控除後</t>
    </r>
    <r>
      <rPr>
        <sz val="11"/>
        <color rgb="FF000000"/>
        <rFont val="Arial"/>
        <family val="0"/>
        <charset val="1"/>
      </rPr>
      <t xml:space="preserve">)</t>
    </r>
  </si>
  <si>
    <t xml:space="preserve">累積キャッシュフロー</t>
  </si>
  <si>
    <r>
      <rPr>
        <b val="true"/>
        <sz val="11"/>
        <rFont val="WenQuanYi Zen Hei"/>
        <family val="2"/>
      </rPr>
      <t xml:space="preserve">真の必要資金・ギャップ比較</t>
    </r>
    <r>
      <rPr>
        <b val="true"/>
        <sz val="11"/>
        <rFont val="Arial"/>
        <family val="0"/>
        <charset val="1"/>
      </rPr>
      <t xml:space="preserve">(①1.5:1</t>
    </r>
    <r>
      <rPr>
        <b val="true"/>
        <sz val="11"/>
        <rFont val="WenQuanYi Zen Hei"/>
        <family val="2"/>
      </rPr>
      <t xml:space="preserve">＝現行の資金調達計画シートの数字／②</t>
    </r>
    <r>
      <rPr>
        <b val="true"/>
        <sz val="11"/>
        <rFont val="Arial"/>
        <family val="0"/>
        <charset val="1"/>
      </rPr>
      <t xml:space="preserve">3:1</t>
    </r>
    <r>
      <rPr>
        <b val="true"/>
        <sz val="11"/>
        <rFont val="WenQuanYi Zen Hei"/>
        <family val="2"/>
      </rPr>
      <t xml:space="preserve">＝本シートの試算</t>
    </r>
    <r>
      <rPr>
        <b val="true"/>
        <sz val="11"/>
        <rFont val="Arial"/>
        <family val="0"/>
        <charset val="1"/>
      </rPr>
      <t xml:space="preserve">)</t>
    </r>
  </si>
  <si>
    <r>
      <rPr>
        <b val="true"/>
        <sz val="11"/>
        <color rgb="FFFFFFFF"/>
        <rFont val="Arial"/>
        <family val="0"/>
        <charset val="1"/>
      </rPr>
      <t xml:space="preserve">①1.5:1(</t>
    </r>
    <r>
      <rPr>
        <b val="true"/>
        <sz val="11"/>
        <color rgb="FFFFFFFF"/>
        <rFont val="WenQuanYi Zen Hei"/>
        <family val="2"/>
      </rPr>
      <t xml:space="preserve">採用中</t>
    </r>
    <r>
      <rPr>
        <b val="true"/>
        <sz val="11"/>
        <color rgb="FFFFFFFF"/>
        <rFont val="Arial"/>
        <family val="0"/>
        <charset val="1"/>
      </rPr>
      <t xml:space="preserve">)</t>
    </r>
  </si>
  <si>
    <r>
      <rPr>
        <b val="true"/>
        <sz val="11"/>
        <color rgb="FFFFFFFF"/>
        <rFont val="Arial"/>
        <family val="0"/>
        <charset val="1"/>
      </rPr>
      <t xml:space="preserve">②3:1</t>
    </r>
    <r>
      <rPr>
        <b val="true"/>
        <sz val="11"/>
        <color rgb="FFFFFFFF"/>
        <rFont val="WenQuanYi Zen Hei"/>
        <family val="2"/>
      </rPr>
      <t xml:space="preserve">法定最低</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</si>
  <si>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r>
      <rPr>
        <sz val="11"/>
        <color theme="1"/>
        <rFont val="WenQuanYi Zen Hei"/>
        <family val="2"/>
      </rPr>
      <t xml:space="preserve">※金額だけ見れば</t>
    </r>
    <r>
      <rPr>
        <sz val="11"/>
        <color theme="1"/>
        <rFont val="Calibri"/>
        <family val="2"/>
        <charset val="1"/>
      </rPr>
      <t xml:space="preserve">3:1</t>
    </r>
    <r>
      <rPr>
        <sz val="11"/>
        <color theme="1"/>
        <rFont val="WenQuanYi Zen Hei"/>
        <family val="2"/>
      </rPr>
      <t xml:space="preserve">の方が資金ギャップは小さくなり得る。ただし本シートは財務試算のみであり、①欠員</t>
    </r>
    <r>
      <rPr>
        <sz val="11"/>
        <color theme="1"/>
        <rFont val="Calibri"/>
        <family val="2"/>
        <charset val="1"/>
      </rPr>
      <t xml:space="preserve">(</t>
    </r>
    <r>
      <rPr>
        <sz val="11"/>
        <color theme="1"/>
        <rFont val="WenQuanYi Zen Hei"/>
        <family val="2"/>
      </rPr>
      <t xml:space="preserve">退職・急な休職</t>
    </r>
    <r>
      <rPr>
        <sz val="11"/>
        <color theme="1"/>
        <rFont val="Calibri"/>
        <family val="2"/>
        <charset val="1"/>
      </rPr>
      <t xml:space="preserve">)</t>
    </r>
    <r>
      <rPr>
        <sz val="11"/>
        <color theme="1"/>
        <rFont val="WenQuanYi Zen Hei"/>
        <family val="2"/>
      </rPr>
      <t xml:space="preserve">時のバッファーが薄くなる、②週複数回の地域外出等、理念に掲げた支援の質を維持できなくなる可能性が高い、といった数字に表れない考慮事項がある。第</t>
    </r>
    <r>
      <rPr>
        <sz val="11"/>
        <color theme="1"/>
        <rFont val="Calibri"/>
        <family val="2"/>
        <charset val="1"/>
      </rPr>
      <t xml:space="preserve">6-3</t>
    </r>
    <r>
      <rPr>
        <sz val="11"/>
        <color theme="1"/>
        <rFont val="WenQuanYi Zen Hei"/>
        <family val="2"/>
      </rPr>
      <t xml:space="preserve">章の経営方針決定</t>
    </r>
    <r>
      <rPr>
        <sz val="11"/>
        <color theme="1"/>
        <rFont val="Calibri"/>
        <family val="2"/>
        <charset val="1"/>
      </rPr>
      <t xml:space="preserve">(1.5:1</t>
    </r>
    <r>
      <rPr>
        <sz val="11"/>
        <color theme="1"/>
        <rFont val="WenQuanYi Zen Hei"/>
        <family val="2"/>
      </rPr>
      <t xml:space="preserve">の維持</t>
    </r>
    <r>
      <rPr>
        <sz val="11"/>
        <color theme="1"/>
        <rFont val="Calibri"/>
        <family val="2"/>
        <charset val="1"/>
      </rPr>
      <t xml:space="preserve">)</t>
    </r>
    <r>
      <rPr>
        <sz val="11"/>
        <color theme="1"/>
        <rFont val="WenQuanYi Zen Hei"/>
        <family val="2"/>
      </rPr>
      <t xml:space="preserve">は、これらを踏まえた上での判断である。</t>
    </r>
  </si>
  <si>
    <r>
      <rPr>
        <b val="true"/>
        <sz val="14"/>
        <rFont val="WenQuanYi Zen Hei"/>
        <family val="2"/>
      </rPr>
      <t xml:space="preserve">満床</t>
    </r>
    <r>
      <rPr>
        <b val="true"/>
        <sz val="14"/>
        <rFont val="Arial"/>
        <family val="0"/>
        <charset val="1"/>
      </rPr>
      <t xml:space="preserve">(</t>
    </r>
    <r>
      <rPr>
        <b val="true"/>
        <sz val="14"/>
        <rFont val="WenQuanYi Zen Hei"/>
        <family val="2"/>
      </rPr>
      <t xml:space="preserve">定員フル稼働</t>
    </r>
    <r>
      <rPr>
        <b val="true"/>
        <sz val="14"/>
        <rFont val="Arial"/>
        <family val="0"/>
        <charset val="1"/>
      </rPr>
      <t xml:space="preserve">)</t>
    </r>
    <r>
      <rPr>
        <b val="true"/>
        <sz val="14"/>
        <rFont val="WenQuanYi Zen Hei"/>
        <family val="2"/>
      </rPr>
      <t xml:space="preserve">シナリオ ― </t>
    </r>
    <r>
      <rPr>
        <b val="true"/>
        <sz val="14"/>
        <rFont val="Arial"/>
        <family val="0"/>
        <charset val="1"/>
      </rPr>
      <t xml:space="preserve">1.5:1</t>
    </r>
    <r>
      <rPr>
        <b val="true"/>
        <sz val="14"/>
        <rFont val="WenQuanYi Zen Hei"/>
        <family val="2"/>
      </rPr>
      <t xml:space="preserve">配置のまま定員に達しても黒字化するか</t>
    </r>
  </si>
  <si>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t>
    </r>
    <r>
      <rPr>
        <sz val="11"/>
        <color theme="1"/>
        <rFont val="Calibri"/>
        <family val="2"/>
        <charset val="1"/>
      </rPr>
      <t xml:space="preserve">Year5</t>
    </r>
    <r>
      <rPr>
        <sz val="11"/>
        <color theme="1"/>
        <rFont val="WenQuanYi Zen Hei"/>
        <family val="2"/>
      </rPr>
      <t xml:space="preserve">時点でも利用者数は定員</t>
    </r>
    <r>
      <rPr>
        <sz val="11"/>
        <color theme="1"/>
        <rFont val="Calibri"/>
        <family val="2"/>
        <charset val="1"/>
      </rPr>
      <t xml:space="preserve">20</t>
    </r>
    <r>
      <rPr>
        <sz val="11"/>
        <color theme="1"/>
        <rFont val="WenQuanYi Zen Hei"/>
        <family val="2"/>
      </rPr>
      <t xml:space="preserve">名に届いていない</t>
    </r>
    <r>
      <rPr>
        <sz val="11"/>
        <color theme="1"/>
        <rFont val="Calibri"/>
        <family val="2"/>
        <charset val="1"/>
      </rPr>
      <t xml:space="preserve">(</t>
    </r>
    <r>
      <rPr>
        <sz val="11"/>
        <color theme="1"/>
        <rFont val="WenQuanYi Zen Hei"/>
        <family val="2"/>
      </rPr>
      <t xml:space="preserve">想定</t>
    </r>
    <r>
      <rPr>
        <sz val="11"/>
        <color theme="1"/>
        <rFont val="Calibri"/>
        <family val="2"/>
        <charset val="1"/>
      </rPr>
      <t xml:space="preserve">18.5</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。本シートは、配置比率</t>
    </r>
    <r>
      <rPr>
        <sz val="11"/>
        <color theme="1"/>
        <rFont val="Calibri"/>
        <family val="2"/>
        <charset val="1"/>
      </rPr>
      <t xml:space="preserve">1.5:1</t>
    </r>
    <r>
      <rPr>
        <sz val="11"/>
        <color theme="1"/>
        <rFont val="WenQuanYi Zen Hei"/>
        <family val="2"/>
      </rPr>
      <t xml:space="preserve">を維持したまま、仮に定員</t>
    </r>
    <r>
      <rPr>
        <sz val="11"/>
        <color theme="1"/>
        <rFont val="Calibri"/>
        <family val="2"/>
        <charset val="1"/>
      </rPr>
      <t xml:space="preserve">20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100%)</t>
    </r>
    <r>
      <rPr>
        <sz val="11"/>
        <color theme="1"/>
        <rFont val="WenQuanYi Zen Hei"/>
        <family val="2"/>
      </rPr>
      <t xml:space="preserve">に達した場合の単年度収支を試算し、「稼働率を上げれば必ず黒字化するのか」を確認するための補助シートである。</t>
    </r>
    <r>
      <rPr>
        <sz val="11"/>
        <color theme="1"/>
        <rFont val="Calibri"/>
        <family val="2"/>
        <charset val="1"/>
      </rPr>
      <t xml:space="preserve">5</t>
    </r>
    <r>
      <rPr>
        <sz val="11"/>
        <color theme="1"/>
        <rFont val="WenQuanYi Zen Hei"/>
        <family val="2"/>
      </rPr>
      <t xml:space="preserve">ヵ年計画・資金計画</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9</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を置き換えるものではない。</t>
    </r>
  </si>
  <si>
    <t xml:space="preserve">【前提】</t>
  </si>
  <si>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定員フル稼働</t>
    </r>
    <r>
      <rPr>
        <sz val="11"/>
        <color rgb="FF000000"/>
        <rFont val="Arial"/>
        <family val="0"/>
        <charset val="1"/>
      </rPr>
      <t xml:space="preserve">)</t>
    </r>
  </si>
  <si>
    <r>
      <rPr>
        <sz val="11"/>
        <color rgb="FF000000"/>
        <rFont val="WenQuanYi Zen Hei"/>
        <family val="2"/>
      </rPr>
      <t xml:space="preserve">人。定員</t>
    </r>
    <r>
      <rPr>
        <sz val="11"/>
        <color rgb="FF000000"/>
        <rFont val="Arial"/>
        <family val="0"/>
        <charset val="1"/>
      </rPr>
      <t xml:space="preserve">(100%</t>
    </r>
    <r>
      <rPr>
        <sz val="11"/>
        <color rgb="FF000000"/>
        <rFont val="WenQuanYi Zen Hei"/>
        <family val="2"/>
      </rPr>
      <t xml:space="preserve">稼働</t>
    </r>
    <r>
      <rPr>
        <sz val="11"/>
        <color rgb="FF000000"/>
        <rFont val="Arial"/>
        <family val="0"/>
        <charset val="1"/>
      </rPr>
      <t xml:space="preserve">)</t>
    </r>
  </si>
  <si>
    <r>
      <rPr>
        <sz val="11"/>
        <color rgb="FF000000"/>
        <rFont val="WenQuanYi Zen Hei"/>
        <family val="2"/>
      </rPr>
      <t xml:space="preserve">生活支援員等人数</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を維持、自動算出</t>
    </r>
    <r>
      <rPr>
        <sz val="11"/>
        <color rgb="FF000000"/>
        <rFont val="Arial"/>
        <family val="0"/>
        <charset val="1"/>
      </rPr>
      <t xml:space="preserve">)</t>
    </r>
  </si>
  <si>
    <r>
      <rPr>
        <sz val="11"/>
        <color rgb="FF000000"/>
        <rFont val="WenQuanYi Zen Hei"/>
        <family val="2"/>
      </rPr>
      <t xml:space="preserve">看護</t>
    </r>
    <r>
      <rPr>
        <sz val="11"/>
        <color rgb="FF000000"/>
        <rFont val="Arial"/>
        <family val="0"/>
        <charset val="1"/>
      </rPr>
      <t xml:space="preserve">1</t>
    </r>
    <r>
      <rPr>
        <sz val="11"/>
        <color rgb="FF000000"/>
        <rFont val="WenQuanYi Zen Hei"/>
        <family val="2"/>
      </rPr>
      <t xml:space="preserve">名・</t>
    </r>
    <r>
      <rPr>
        <sz val="11"/>
        <color rgb="FF000000"/>
        <rFont val="Arial"/>
        <family val="0"/>
        <charset val="1"/>
      </rPr>
      <t xml:space="preserve">PT/OT0.4</t>
    </r>
    <r>
      <rPr>
        <sz val="11"/>
        <color rgb="FF000000"/>
        <rFont val="WenQuanYi Zen Hei"/>
        <family val="2"/>
      </rPr>
      <t xml:space="preserve">名を差し引いた人数</t>
    </r>
    <r>
      <rPr>
        <sz val="11"/>
        <color rgb="FF000000"/>
        <rFont val="Arial"/>
        <family val="0"/>
        <charset val="1"/>
      </rPr>
      <t xml:space="preserve">(</t>
    </r>
    <r>
      <rPr>
        <sz val="11"/>
        <color rgb="FF000000"/>
        <rFont val="WenQuanYi Zen Hei"/>
        <family val="2"/>
      </rPr>
      <t xml:space="preserve">人件費シートの</t>
    </r>
    <r>
      <rPr>
        <sz val="11"/>
        <color rgb="FF000000"/>
        <rFont val="Arial"/>
        <family val="0"/>
        <charset val="1"/>
      </rPr>
      <t xml:space="preserve">Year5</t>
    </r>
    <r>
      <rPr>
        <sz val="11"/>
        <color rgb="FF000000"/>
        <rFont val="WenQuanYi Zen Hei"/>
        <family val="2"/>
      </rPr>
      <t xml:space="preserve">以降と同じ考え方</t>
    </r>
    <r>
      <rPr>
        <sz val="11"/>
        <color rgb="FF000000"/>
        <rFont val="Arial"/>
        <family val="0"/>
        <charset val="1"/>
      </rPr>
      <t xml:space="preserve">)</t>
    </r>
  </si>
  <si>
    <r>
      <rPr>
        <b val="true"/>
        <sz val="11"/>
        <color rgb="FFFFFFFF"/>
        <rFont val="WenQuanYi Zen Hei"/>
        <family val="2"/>
      </rPr>
      <t xml:space="preserve">金額</t>
    </r>
    <r>
      <rPr>
        <b val="true"/>
        <sz val="11"/>
        <color rgb="FFFFFFFF"/>
        <rFont val="Arial"/>
        <family val="0"/>
        <charset val="1"/>
      </rPr>
      <t xml:space="preserve">(</t>
    </r>
    <r>
      <rPr>
        <b val="true"/>
        <sz val="11"/>
        <color rgb="FFFFFFFF"/>
        <rFont val="WenQuanYi Zen Hei"/>
        <family val="2"/>
      </rPr>
      <t xml:space="preserve">年間</t>
    </r>
    <r>
      <rPr>
        <b val="true"/>
        <sz val="11"/>
        <color rgb="FFFFFFFF"/>
        <rFont val="Arial"/>
        <family val="0"/>
        <charset val="1"/>
      </rPr>
      <t xml:space="preserve">)</t>
    </r>
  </si>
  <si>
    <t xml:space="preserve">送迎加算収入</t>
  </si>
  <si>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全額を人件費側に同額計上</t>
    </r>
    <r>
      <rPr>
        <sz val="11"/>
        <color rgb="FF000000"/>
        <rFont val="Arial"/>
        <family val="0"/>
        <charset val="1"/>
      </rPr>
      <t xml:space="preserve">)</t>
    </r>
  </si>
  <si>
    <t xml:space="preserve">入浴支援加算収入</t>
  </si>
  <si>
    <t xml:space="preserve">食事提供体制加算収入</t>
  </si>
  <si>
    <t xml:space="preserve">福祉専門職員配置等加算収入</t>
  </si>
  <si>
    <r>
      <rPr>
        <sz val="11"/>
        <color rgb="FF000000"/>
        <rFont val="WenQuanYi Zen Hei"/>
        <family val="2"/>
      </rPr>
      <t xml:space="preserve">人員配置体制加算Ⅰ収入</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</si>
  <si>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法定福利費込。配置比率</t>
    </r>
    <r>
      <rPr>
        <sz val="11"/>
        <color rgb="FF000000"/>
        <rFont val="Arial"/>
        <family val="0"/>
        <charset val="1"/>
      </rPr>
      <t xml:space="preserve">1.5:1</t>
    </r>
    <r>
      <rPr>
        <sz val="11"/>
        <color rgb="FF000000"/>
        <rFont val="WenQuanYi Zen Hei"/>
        <family val="2"/>
      </rPr>
      <t xml:space="preserve">を維持</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</si>
  <si>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損益中立</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</si>
  <si>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t>
    </r>
    <r>
      <rPr>
        <sz val="11"/>
        <color rgb="FF000000"/>
        <rFont val="WenQuanYi Zen Hei"/>
        <family val="2"/>
      </rPr>
      <t xml:space="preserve">成熟期の水準</t>
    </r>
    <r>
      <rPr>
        <sz val="11"/>
        <color rgb="FF000000"/>
        <rFont val="Arial"/>
        <family val="0"/>
        <charset val="1"/>
      </rPr>
      <t xml:space="preserve">)</t>
    </r>
  </si>
  <si>
    <r>
      <rPr>
        <sz val="11"/>
        <color theme="1"/>
        <rFont val="WenQuanYi Zen Hei"/>
        <family val="2"/>
      </rPr>
      <t xml:space="preserve">※配置比率</t>
    </r>
    <r>
      <rPr>
        <sz val="11"/>
        <color theme="1"/>
        <rFont val="Calibri"/>
        <family val="2"/>
        <charset val="1"/>
      </rPr>
      <t xml:space="preserve">1.5:1(</t>
    </r>
    <r>
      <rPr>
        <sz val="11"/>
        <color theme="1"/>
        <rFont val="WenQuanYi Zen Hei"/>
        <family val="2"/>
      </rPr>
      <t xml:space="preserve">人員配置体制加算Ⅰの水準</t>
    </r>
    <r>
      <rPr>
        <sz val="11"/>
        <color theme="1"/>
        <rFont val="Calibri"/>
        <family val="2"/>
        <charset val="1"/>
      </rPr>
      <t xml:space="preserve">)</t>
    </r>
    <r>
      <rPr>
        <sz val="11"/>
        <color theme="1"/>
        <rFont val="WenQuanYi Zen Hei"/>
        <family val="2"/>
      </rPr>
      <t xml:space="preserve">を維持したまま定員</t>
    </r>
    <r>
      <rPr>
        <sz val="11"/>
        <color theme="1"/>
        <rFont val="Calibri"/>
        <family val="2"/>
        <charset val="1"/>
      </rPr>
      <t xml:space="preserve">20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100%)</t>
    </r>
    <r>
      <rPr>
        <sz val="11"/>
        <color theme="1"/>
        <rFont val="WenQuanYi Zen Hei"/>
        <family val="2"/>
      </rPr>
      <t xml:space="preserve">に達しても、上記の営業利益がなお赤字であれば、「稼働率を上げれば黒字化する」という前提そのものを見直す必要がある。その場合、①配置比率をどこかの時点で</t>
    </r>
    <r>
      <rPr>
        <sz val="11"/>
        <color theme="1"/>
        <rFont val="Calibri"/>
        <family val="2"/>
        <charset val="1"/>
      </rPr>
      <t xml:space="preserve">3:1</t>
    </r>
    <r>
      <rPr>
        <sz val="11"/>
        <color theme="1"/>
        <rFont val="WenQuanYi Zen Hei"/>
        <family val="2"/>
      </rPr>
      <t xml:space="preserve">側に近づける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10-4</t>
    </r>
    <r>
      <rPr>
        <sz val="11"/>
        <color theme="1"/>
        <rFont val="WenQuanYi Zen Hei"/>
        <family val="2"/>
      </rPr>
      <t xml:space="preserve">章「配置比率シナリオ比較」参照</t>
    </r>
    <r>
      <rPr>
        <sz val="11"/>
        <color theme="1"/>
        <rFont val="Calibri"/>
        <family val="2"/>
        <charset val="1"/>
      </rPr>
      <t xml:space="preserve">)</t>
    </r>
    <r>
      <rPr>
        <sz val="11"/>
        <color theme="1"/>
        <rFont val="WenQuanYi Zen Hei"/>
        <family val="2"/>
      </rPr>
      <t xml:space="preserve">、②重度障害者支援加算等の追加収入源を確保する、③固定費</t>
    </r>
    <r>
      <rPr>
        <sz val="11"/>
        <color theme="1"/>
        <rFont val="Calibri"/>
        <family val="2"/>
        <charset val="1"/>
      </rPr>
      <t xml:space="preserve">(</t>
    </r>
    <r>
      <rPr>
        <sz val="11"/>
        <color theme="1"/>
        <rFont val="WenQuanYi Zen Hei"/>
        <family val="2"/>
      </rPr>
      <t xml:space="preserve">家賃・その他経費</t>
    </r>
    <r>
      <rPr>
        <sz val="11"/>
        <color theme="1"/>
        <rFont val="Calibri"/>
        <family val="2"/>
        <charset val="1"/>
      </rPr>
      <t xml:space="preserve">)</t>
    </r>
    <r>
      <rPr>
        <sz val="11"/>
        <color theme="1"/>
        <rFont val="WenQuanYi Zen Hei"/>
        <family val="2"/>
      </rPr>
      <t xml:space="preserve">を圧縮する、のいずれか・組み合わせが必要になる。</t>
    </r>
  </si>
  <si>
    <r>
      <rPr>
        <b val="true"/>
        <sz val="14"/>
        <rFont val="WenQuanYi Zen Hei"/>
        <family val="2"/>
      </rPr>
      <t xml:space="preserve">収支・費用 一覧表</t>
    </r>
    <r>
      <rPr>
        <b val="true"/>
        <sz val="14"/>
        <rFont val="Arial"/>
        <family val="0"/>
        <charset val="1"/>
      </rPr>
      <t xml:space="preserve">(</t>
    </r>
    <r>
      <rPr>
        <b val="true"/>
        <sz val="14"/>
        <rFont val="WenQuanYi Zen Hei"/>
        <family val="2"/>
      </rPr>
      <t xml:space="preserve">検討用</t>
    </r>
    <r>
      <rPr>
        <b val="true"/>
        <sz val="14"/>
        <rFont val="Arial"/>
        <family val="0"/>
        <charset val="1"/>
      </rPr>
      <t xml:space="preserve">) ― </t>
    </r>
    <r>
      <rPr>
        <b val="true"/>
        <sz val="14"/>
        <rFont val="WenQuanYi Zen Hei"/>
        <family val="2"/>
      </rPr>
      <t xml:space="preserve">明日の打ち合わせで費用を見直すためのレビューシート</t>
    </r>
  </si>
  <si>
    <r>
      <rPr>
        <sz val="11"/>
        <color theme="1"/>
        <rFont val="WenQuanYi Zen Hei"/>
        <family val="2"/>
      </rPr>
      <t xml:space="preserve">下表はすべて「収支計画</t>
    </r>
    <r>
      <rPr>
        <sz val="11"/>
        <color theme="1"/>
        <rFont val="Calibri"/>
        <family val="2"/>
        <charset val="1"/>
      </rPr>
      <t xml:space="preserve">5</t>
    </r>
    <r>
      <rPr>
        <sz val="11"/>
        <color theme="1"/>
        <rFont val="WenQuanYi Zen Hei"/>
        <family val="2"/>
      </rPr>
      <t xml:space="preserve">年」「人件費」「前提条件」シートの数式参照であり、独自の数値は持たない</t>
    </r>
    <r>
      <rPr>
        <sz val="11"/>
        <color theme="1"/>
        <rFont val="Calibri"/>
        <family val="2"/>
        <charset val="1"/>
      </rPr>
      <t xml:space="preserve">(</t>
    </r>
    <r>
      <rPr>
        <sz val="11"/>
        <color theme="1"/>
        <rFont val="WenQuanYi Zen Hei"/>
        <family val="2"/>
      </rPr>
      <t xml:space="preserve">数値を変えたい場合は参照元のシートを編集すること</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G</t>
    </r>
    <r>
      <rPr>
        <sz val="11"/>
        <color theme="1"/>
        <rFont val="WenQuanYi Zen Hei"/>
        <family val="2"/>
      </rPr>
      <t xml:space="preserve">列「見直し案・メモ」は空欄。打ち合わせ中に検討結果を書き込むための欄。</t>
    </r>
  </si>
  <si>
    <r>
      <rPr>
        <b val="true"/>
        <sz val="11"/>
        <rFont val="WenQuanYi Zen Hei"/>
        <family val="2"/>
      </rPr>
      <t xml:space="preserve">【</t>
    </r>
    <r>
      <rPr>
        <b val="true"/>
        <sz val="11"/>
        <rFont val="Arial"/>
        <family val="0"/>
        <charset val="1"/>
      </rPr>
      <t xml:space="preserve">A</t>
    </r>
    <r>
      <rPr>
        <b val="true"/>
        <sz val="11"/>
        <rFont val="WenQuanYi Zen Hei"/>
        <family val="2"/>
      </rPr>
      <t xml:space="preserve">】収入内訳</t>
    </r>
    <r>
      <rPr>
        <b val="true"/>
        <sz val="11"/>
        <rFont val="Arial"/>
        <family val="0"/>
        <charset val="1"/>
      </rPr>
      <t xml:space="preserve">(</t>
    </r>
    <r>
      <rPr>
        <b val="true"/>
        <sz val="11"/>
        <rFont val="WenQuanYi Zen Hei"/>
        <family val="2"/>
      </rPr>
      <t xml:space="preserve">年次</t>
    </r>
    <r>
      <rPr>
        <b val="true"/>
        <sz val="11"/>
        <rFont val="Arial"/>
        <family val="0"/>
        <charset val="1"/>
      </rPr>
      <t xml:space="preserve">)</t>
    </r>
  </si>
  <si>
    <t xml:space="preserve">見直し案・メモ</t>
  </si>
  <si>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全額を人件費側に同額計上・損益中立</t>
    </r>
    <r>
      <rPr>
        <sz val="11"/>
        <color rgb="FF000000"/>
        <rFont val="Arial"/>
        <family val="0"/>
        <charset val="1"/>
      </rPr>
      <t xml:space="preserve">)</t>
    </r>
  </si>
  <si>
    <r>
      <rPr>
        <b val="true"/>
        <sz val="11"/>
        <rFont val="WenQuanYi Zen Hei"/>
        <family val="2"/>
      </rPr>
      <t xml:space="preserve">【</t>
    </r>
    <r>
      <rPr>
        <b val="true"/>
        <sz val="11"/>
        <rFont val="Arial"/>
        <family val="0"/>
        <charset val="1"/>
      </rPr>
      <t xml:space="preserve">B</t>
    </r>
    <r>
      <rPr>
        <b val="true"/>
        <sz val="11"/>
        <rFont val="WenQuanYi Zen Hei"/>
        <family val="2"/>
      </rPr>
      <t xml:space="preserve">】経費内訳</t>
    </r>
    <r>
      <rPr>
        <b val="true"/>
        <sz val="11"/>
        <rFont val="Arial"/>
        <family val="0"/>
        <charset val="1"/>
      </rPr>
      <t xml:space="preserve">(</t>
    </r>
    <r>
      <rPr>
        <b val="true"/>
        <sz val="11"/>
        <rFont val="WenQuanYi Zen Hei"/>
        <family val="2"/>
      </rPr>
      <t xml:space="preserve">年次サマリー。人件費の内訳は【</t>
    </r>
    <r>
      <rPr>
        <b val="true"/>
        <sz val="11"/>
        <rFont val="Arial"/>
        <family val="0"/>
        <charset val="1"/>
      </rPr>
      <t xml:space="preserve">C</t>
    </r>
    <r>
      <rPr>
        <b val="true"/>
        <sz val="11"/>
        <rFont val="WenQuanYi Zen Hei"/>
        <family val="2"/>
      </rPr>
      <t xml:space="preserve">】、その他経費の内訳は【</t>
    </r>
    <r>
      <rPr>
        <b val="true"/>
        <sz val="11"/>
        <rFont val="Arial"/>
        <family val="0"/>
        <charset val="1"/>
      </rPr>
      <t xml:space="preserve">D</t>
    </r>
    <r>
      <rPr>
        <b val="true"/>
        <sz val="11"/>
        <rFont val="WenQuanYi Zen Hei"/>
        <family val="2"/>
      </rPr>
      <t xml:space="preserve">】参照</t>
    </r>
    <r>
      <rPr>
        <b val="true"/>
        <sz val="11"/>
        <rFont val="Arial"/>
        <family val="0"/>
        <charset val="1"/>
      </rPr>
      <t xml:space="preserve">)</t>
    </r>
  </si>
  <si>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法定福利費込。内訳は【</t>
    </r>
    <r>
      <rPr>
        <sz val="11"/>
        <color rgb="FF000000"/>
        <rFont val="Arial"/>
        <family val="0"/>
        <charset val="1"/>
      </rPr>
      <t xml:space="preserve">C</t>
    </r>
    <r>
      <rPr>
        <sz val="11"/>
        <color rgb="FF000000"/>
        <rFont val="WenQuanYi Zen Hei"/>
        <family val="2"/>
      </rPr>
      <t xml:space="preserve">】</t>
    </r>
    <r>
      <rPr>
        <sz val="11"/>
        <color rgb="FF000000"/>
        <rFont val="Arial"/>
        <family val="0"/>
        <charset val="1"/>
      </rPr>
      <t xml:space="preserve">)</t>
    </r>
  </si>
  <si>
    <t xml:space="preserve">豊口氏 役員報酬</t>
  </si>
  <si>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内訳は【</t>
    </r>
    <r>
      <rPr>
        <sz val="11"/>
        <color rgb="FF000000"/>
        <rFont val="Arial"/>
        <family val="0"/>
        <charset val="1"/>
      </rPr>
      <t xml:space="preserve">D</t>
    </r>
    <r>
      <rPr>
        <sz val="11"/>
        <color rgb="FF000000"/>
        <rFont val="WenQuanYi Zen Hei"/>
        <family val="2"/>
      </rPr>
      <t xml:space="preserve">】</t>
    </r>
    <r>
      <rPr>
        <sz val="11"/>
        <color rgb="FF000000"/>
        <rFont val="Arial"/>
        <family val="0"/>
        <charset val="1"/>
      </rPr>
      <t xml:space="preserve">)</t>
    </r>
  </si>
  <si>
    <r>
      <rPr>
        <b val="true"/>
        <sz val="11"/>
        <rFont val="WenQuanYi Zen Hei"/>
        <family val="2"/>
      </rPr>
      <t xml:space="preserve">営業利益</t>
    </r>
    <r>
      <rPr>
        <b val="true"/>
        <sz val="11"/>
        <rFont val="Arial"/>
        <family val="0"/>
        <charset val="1"/>
      </rPr>
      <t xml:space="preserve">(</t>
    </r>
    <r>
      <rPr>
        <b val="true"/>
        <sz val="11"/>
        <rFont val="WenQuanYi Zen Hei"/>
        <family val="2"/>
      </rPr>
      <t xml:space="preserve">収入合計－経費合計</t>
    </r>
    <r>
      <rPr>
        <b val="true"/>
        <sz val="11"/>
        <rFont val="Arial"/>
        <family val="0"/>
        <charset val="1"/>
      </rPr>
      <t xml:space="preserve">)</t>
    </r>
  </si>
  <si>
    <r>
      <rPr>
        <b val="true"/>
        <sz val="11"/>
        <rFont val="WenQuanYi Zen Hei"/>
        <family val="2"/>
      </rPr>
      <t xml:space="preserve">【</t>
    </r>
    <r>
      <rPr>
        <b val="true"/>
        <sz val="11"/>
        <rFont val="Arial"/>
        <family val="0"/>
        <charset val="1"/>
      </rPr>
      <t xml:space="preserve">C</t>
    </r>
    <r>
      <rPr>
        <b val="true"/>
        <sz val="11"/>
        <rFont val="WenQuanYi Zen Hei"/>
        <family val="2"/>
      </rPr>
      <t xml:space="preserve">】人件費の内訳</t>
    </r>
    <r>
      <rPr>
        <b val="true"/>
        <sz val="11"/>
        <rFont val="Arial"/>
        <family val="0"/>
        <charset val="1"/>
      </rPr>
      <t xml:space="preserve">(</t>
    </r>
    <r>
      <rPr>
        <b val="true"/>
        <sz val="11"/>
        <rFont val="WenQuanYi Zen Hei"/>
        <family val="2"/>
      </rPr>
      <t xml:space="preserve">職種別・年次。「人件費」シートより参照</t>
    </r>
    <r>
      <rPr>
        <b val="true"/>
        <sz val="11"/>
        <rFont val="Arial"/>
        <family val="0"/>
        <charset val="1"/>
      </rPr>
      <t xml:space="preserve">)</t>
    </r>
  </si>
  <si>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概算</t>
    </r>
    <r>
      <rPr>
        <sz val="11"/>
        <color rgb="FF000000"/>
        <rFont val="Arial"/>
        <family val="0"/>
        <charset val="1"/>
      </rPr>
      <t xml:space="preserve">15%)</t>
    </r>
  </si>
  <si>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職種別 人数</t>
    </r>
    <r>
      <rPr>
        <b val="true"/>
        <sz val="11"/>
        <rFont val="Arial"/>
        <family val="0"/>
        <charset val="1"/>
      </rPr>
      <t xml:space="preserve">(</t>
    </r>
    <r>
      <rPr>
        <b val="true"/>
        <sz val="11"/>
        <rFont val="WenQuanYi Zen Hei"/>
        <family val="2"/>
      </rPr>
      <t xml:space="preserve">常勤換算</t>
    </r>
    <r>
      <rPr>
        <b val="true"/>
        <sz val="11"/>
        <rFont val="Arial"/>
        <family val="0"/>
        <charset val="1"/>
      </rPr>
      <t xml:space="preserve">)</t>
    </r>
  </si>
  <si>
    <r>
      <rPr>
        <b val="true"/>
        <sz val="11"/>
        <rFont val="WenQuanYi Zen Hei"/>
        <family val="2"/>
      </rPr>
      <t xml:space="preserve">合計人数</t>
    </r>
    <r>
      <rPr>
        <b val="true"/>
        <sz val="11"/>
        <rFont val="Arial"/>
        <family val="0"/>
        <charset val="1"/>
      </rPr>
      <t xml:space="preserve">(</t>
    </r>
    <r>
      <rPr>
        <b val="true"/>
        <sz val="11"/>
        <rFont val="WenQuanYi Zen Hei"/>
        <family val="2"/>
      </rPr>
      <t xml:space="preserve">常勤換算</t>
    </r>
    <r>
      <rPr>
        <b val="true"/>
        <sz val="11"/>
        <rFont val="Arial"/>
        <family val="0"/>
        <charset val="1"/>
      </rPr>
      <t xml:space="preserve">)</t>
    </r>
  </si>
  <si>
    <r>
      <rPr>
        <b val="true"/>
        <sz val="11"/>
        <rFont val="WenQuanYi Zen Hei"/>
        <family val="2"/>
      </rPr>
      <t xml:space="preserve">【</t>
    </r>
    <r>
      <rPr>
        <b val="true"/>
        <sz val="11"/>
        <rFont val="Arial"/>
        <family val="0"/>
        <charset val="1"/>
      </rPr>
      <t xml:space="preserve">D</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年間・全年共通。「前提条件」シートより参照</t>
    </r>
    <r>
      <rPr>
        <b val="true"/>
        <sz val="11"/>
        <rFont val="Arial"/>
        <family val="0"/>
        <charset val="1"/>
      </rPr>
      <t xml:space="preserve">)</t>
    </r>
  </si>
  <si>
    <r>
      <rPr>
        <b val="true"/>
        <sz val="11"/>
        <rFont val="WenQuanYi Zen Hei"/>
        <family val="2"/>
      </rPr>
      <t xml:space="preserve">その他経費 合計</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</si>
  <si>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r>
      <rPr>
        <sz val="11"/>
        <color theme="1"/>
        <rFont val="WenQuanYi Zen Hei"/>
        <family val="2"/>
      </rPr>
      <t xml:space="preserve">⚠ 費用を見直す際の視点：①生活支援員等の人数</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C</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は配置比率</t>
    </r>
    <r>
      <rPr>
        <sz val="11"/>
        <color theme="1"/>
        <rFont val="Calibri"/>
        <family val="2"/>
        <charset val="1"/>
      </rPr>
      <t xml:space="preserve">1.5:1</t>
    </r>
    <r>
      <rPr>
        <sz val="11"/>
        <color theme="1"/>
        <rFont val="WenQuanYi Zen Hei"/>
        <family val="2"/>
      </rPr>
      <t xml:space="preserve">を維持する前提の自動算出値であり、配置比率を緩める</t>
    </r>
    <r>
      <rPr>
        <sz val="11"/>
        <color theme="1"/>
        <rFont val="Calibri"/>
        <family val="2"/>
        <charset val="1"/>
      </rPr>
      <t xml:space="preserve">(3:1</t>
    </r>
    <r>
      <rPr>
        <sz val="11"/>
        <color theme="1"/>
        <rFont val="WenQuanYi Zen Hei"/>
        <family val="2"/>
      </rPr>
      <t xml:space="preserve">側に近づける</t>
    </r>
    <r>
      <rPr>
        <sz val="11"/>
        <color theme="1"/>
        <rFont val="Calibri"/>
        <family val="2"/>
        <charset val="1"/>
      </rPr>
      <t xml:space="preserve">)</t>
    </r>
    <r>
      <rPr>
        <sz val="11"/>
        <color theme="1"/>
        <rFont val="WenQuanYi Zen Hei"/>
        <family val="2"/>
      </rPr>
      <t xml:space="preserve">と人数・人件費が大きく下がる一方、理念とのトレードオフが生じる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10-4-2</t>
    </r>
    <r>
      <rPr>
        <sz val="11"/>
        <color theme="1"/>
        <rFont val="WenQuanYi Zen Hei"/>
        <family val="2"/>
      </rPr>
      <t xml:space="preserve">章「配置比率シナリオ比較」参照</t>
    </r>
    <r>
      <rPr>
        <sz val="11"/>
        <color theme="1"/>
        <rFont val="Calibri"/>
        <family val="2"/>
        <charset val="1"/>
      </rPr>
      <t xml:space="preserve">)</t>
    </r>
    <r>
      <rPr>
        <sz val="11"/>
        <color theme="1"/>
        <rFont val="WenQuanYi Zen Hei"/>
        <family val="2"/>
      </rPr>
      <t xml:space="preserve">。②地代家賃・その他経費</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D</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は居抜き物件の活用度合いや契約内容次第で圧縮余地がある。③役員報酬</t>
    </r>
    <r>
      <rPr>
        <sz val="11"/>
        <color theme="1"/>
        <rFont val="Calibri"/>
        <family val="2"/>
        <charset val="1"/>
      </rPr>
      <t xml:space="preserve">(</t>
    </r>
    <r>
      <rPr>
        <sz val="11"/>
        <color theme="1"/>
        <rFont val="WenQuanYi Zen Hei"/>
        <family val="2"/>
      </rPr>
      <t xml:space="preserve">豊口氏</t>
    </r>
    <r>
      <rPr>
        <sz val="11"/>
        <color theme="1"/>
        <rFont val="Calibri"/>
        <family val="2"/>
        <charset val="1"/>
      </rPr>
      <t xml:space="preserve">)</t>
    </r>
    <r>
      <rPr>
        <sz val="11"/>
        <color theme="1"/>
        <rFont val="WenQuanYi Zen Hei"/>
        <family val="2"/>
      </rPr>
      <t xml:space="preserve">は</t>
    </r>
    <r>
      <rPr>
        <sz val="11"/>
        <color theme="1"/>
        <rFont val="Calibri"/>
        <family val="2"/>
        <charset val="1"/>
      </rPr>
      <t xml:space="preserve">Year3</t>
    </r>
    <r>
      <rPr>
        <sz val="11"/>
        <color theme="1"/>
        <rFont val="WenQuanYi Zen Hei"/>
        <family val="2"/>
      </rPr>
      <t xml:space="preserve">以降月</t>
    </r>
    <r>
      <rPr>
        <sz val="11"/>
        <color theme="1"/>
        <rFont val="Calibri"/>
        <family val="2"/>
        <charset val="1"/>
      </rPr>
      <t xml:space="preserve">30</t>
    </r>
    <r>
      <rPr>
        <sz val="11"/>
        <color theme="1"/>
        <rFont val="WenQuanYi Zen Hei"/>
        <family val="2"/>
      </rPr>
      <t xml:space="preserve">万円を想定しているが、時期・金額は調整可能な項目である。④送迎車両・什器等の初期投資</t>
    </r>
    <r>
      <rPr>
        <sz val="11"/>
        <color theme="1"/>
        <rFont val="Calibri"/>
        <family val="2"/>
        <charset val="1"/>
      </rPr>
      <t xml:space="preserve">(</t>
    </r>
    <r>
      <rPr>
        <sz val="11"/>
        <color theme="1"/>
        <rFont val="WenQuanYi Zen Hei"/>
        <family val="2"/>
      </rPr>
      <t xml:space="preserve">別紙「初期投資」シート</t>
    </r>
    <r>
      <rPr>
        <sz val="11"/>
        <color theme="1"/>
        <rFont val="Calibri"/>
        <family val="2"/>
        <charset val="1"/>
      </rPr>
      <t xml:space="preserve">)</t>
    </r>
    <r>
      <rPr>
        <sz val="11"/>
        <color theme="1"/>
        <rFont val="WenQuanYi Zen Hei"/>
        <family val="2"/>
      </rPr>
      <t xml:space="preserve">は減価償却費に影響するため、購入かリースかの見直しも選択肢。</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</si>
</sst>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
    <numFmt numFmtId="169" formatCode="0.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9" fontId="13"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41.75" hidden="false" customHeight="false" outlineLevel="0" collapsed="false">
      <c r="A10" s="9" t="s">
        <v>36</v>
      </c>
      <c r="B10" s="10" t="n">
        <v>2000000</v>
      </c>
      <c r="C10" s="11" t="s">
        <v>37</v>
      </c>
      <c r="D10" s="12" t="s">
        <v>38</v>
      </c>
    </row>
    <row r="11" customFormat="false" ht="15" hidden="false" customHeight="false" outlineLevel="0" collapsed="false">
      <c r="A11" s="9" t="s">
        <v>39</v>
      </c>
      <c r="B11" s="10" t="n">
        <v>300000</v>
      </c>
      <c r="C11" s="11" t="s">
        <v>40</v>
      </c>
      <c r="D11" s="12" t="s">
        <v>41</v>
      </c>
    </row>
    <row r="12" customFormat="false" ht="15" hidden="false" customHeight="false" outlineLevel="0" collapsed="false">
      <c r="A12" s="9" t="s">
        <v>42</v>
      </c>
      <c r="B12" s="10" t="n">
        <v>2000000</v>
      </c>
      <c r="C12" s="11" t="s">
        <v>37</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22770564.13824</v>
      </c>
      <c r="C14" s="14"/>
      <c r="D14" s="12" t="s">
        <v>46</v>
      </c>
    </row>
    <row r="15" customFormat="false" ht="15" hidden="false" customHeight="false" outlineLevel="0" collapsed="false">
      <c r="A15" s="15" t="s">
        <v>47</v>
      </c>
      <c r="B15" s="16" t="n">
        <f aca="false">SUM(B4:B14)</f>
        <v>51420564.13824</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95.5" hidden="false" customHeight="false" outlineLevel="0" collapsed="false">
      <c r="A14" s="9" t="s">
        <v>74</v>
      </c>
      <c r="B14" s="23" t="n">
        <v>0.084</v>
      </c>
      <c r="C14" s="12" t="s">
        <v>75</v>
      </c>
    </row>
    <row r="15" customFormat="false" ht="68.65" hidden="false" customHeight="false" outlineLevel="0" collapsed="false">
      <c r="A15" s="9" t="s">
        <v>76</v>
      </c>
      <c r="B15" s="24" t="n">
        <v>21</v>
      </c>
      <c r="C15" s="12" t="s">
        <v>77</v>
      </c>
    </row>
    <row r="16" customFormat="false" ht="15" hidden="false" customHeight="false" outlineLevel="0" collapsed="false">
      <c r="A16" s="9" t="s">
        <v>78</v>
      </c>
      <c r="B16" s="18" t="n">
        <v>0.5</v>
      </c>
      <c r="C16" s="22" t="s">
        <v>79</v>
      </c>
    </row>
    <row r="17" customFormat="false" ht="15" hidden="false" customHeight="false" outlineLevel="0" collapsed="false">
      <c r="A17" s="9" t="s">
        <v>80</v>
      </c>
      <c r="B17" s="18" t="n">
        <v>2</v>
      </c>
      <c r="C17" s="12" t="s">
        <v>81</v>
      </c>
    </row>
    <row r="18" customFormat="false" ht="15" hidden="false" customHeight="false" outlineLevel="0" collapsed="false">
      <c r="A18" s="9" t="s">
        <v>82</v>
      </c>
      <c r="B18" s="19" t="n">
        <v>40</v>
      </c>
      <c r="C18" s="12" t="s">
        <v>83</v>
      </c>
    </row>
    <row r="19" customFormat="false" ht="28.35" hidden="false" customHeight="false" outlineLevel="0" collapsed="false">
      <c r="A19" s="9" t="s">
        <v>84</v>
      </c>
      <c r="B19" s="21" t="n">
        <v>0.3</v>
      </c>
      <c r="C19" s="22" t="s">
        <v>85</v>
      </c>
    </row>
    <row r="20" customFormat="false" ht="28.35" hidden="false" customHeight="false" outlineLevel="0" collapsed="false">
      <c r="A20" s="9" t="s">
        <v>86</v>
      </c>
      <c r="B20" s="19" t="n">
        <v>30</v>
      </c>
      <c r="C20" s="12" t="s">
        <v>87</v>
      </c>
    </row>
    <row r="21" customFormat="false" ht="28.35" hidden="false" customHeight="false" outlineLevel="0" collapsed="false">
      <c r="A21" s="9" t="s">
        <v>88</v>
      </c>
      <c r="B21" s="18" t="n">
        <v>250</v>
      </c>
      <c r="C21" s="12" t="s">
        <v>89</v>
      </c>
    </row>
    <row r="22" customFormat="false" ht="15" hidden="false" customHeight="false" outlineLevel="0" collapsed="false">
      <c r="A22" s="9" t="s">
        <v>90</v>
      </c>
      <c r="B22" s="25" t="n">
        <v>400000</v>
      </c>
      <c r="C22" s="12" t="s">
        <v>91</v>
      </c>
    </row>
    <row r="23" customFormat="false" ht="15" hidden="false" customHeight="false" outlineLevel="0" collapsed="false">
      <c r="A23" s="9" t="s">
        <v>92</v>
      </c>
      <c r="B23" s="10" t="n">
        <v>900000</v>
      </c>
      <c r="C23" s="12" t="s">
        <v>93</v>
      </c>
    </row>
    <row r="24" customFormat="false" ht="15" hidden="false" customHeight="false" outlineLevel="0" collapsed="false">
      <c r="A24" s="9" t="s">
        <v>94</v>
      </c>
      <c r="B24" s="26" t="n">
        <f aca="false">SUM(B38:B46)</f>
        <v>4650000</v>
      </c>
      <c r="C24" s="12" t="s">
        <v>95</v>
      </c>
    </row>
    <row r="25" customFormat="false" ht="15" hidden="false" customHeight="false" outlineLevel="0" collapsed="false">
      <c r="A25" s="9" t="s">
        <v>96</v>
      </c>
      <c r="B25" s="13" t="n">
        <f aca="false">初期投資!$B$16</f>
        <v>18500000</v>
      </c>
      <c r="C25" s="12" t="s">
        <v>95</v>
      </c>
    </row>
    <row r="26" customFormat="false" ht="15" hidden="false" customHeight="false" outlineLevel="0" collapsed="false">
      <c r="A26" s="9" t="s">
        <v>97</v>
      </c>
      <c r="B26" s="18" t="n">
        <v>8</v>
      </c>
      <c r="C26" s="12" t="s">
        <v>98</v>
      </c>
    </row>
    <row r="28" customFormat="false" ht="15" hidden="false" customHeight="false" outlineLevel="0" collapsed="false">
      <c r="A28" s="2" t="s">
        <v>99</v>
      </c>
    </row>
    <row r="29" customFormat="false" ht="31.5" hidden="false" customHeight="true" outlineLevel="0" collapsed="false">
      <c r="A29" s="27" t="s">
        <v>100</v>
      </c>
      <c r="B29" s="27"/>
      <c r="C29" s="27"/>
    </row>
    <row r="30" customFormat="false" ht="41.75" hidden="false" customHeight="false" outlineLevel="0" collapsed="false">
      <c r="A30" s="9" t="s">
        <v>101</v>
      </c>
      <c r="B30" s="19" t="n">
        <v>1.5</v>
      </c>
      <c r="C30" s="12" t="s">
        <v>102</v>
      </c>
    </row>
    <row r="31" customFormat="false" ht="41.75" hidden="false" customHeight="false" outlineLevel="0" collapsed="false">
      <c r="A31" s="9" t="s">
        <v>103</v>
      </c>
      <c r="B31" s="24" t="n">
        <v>321</v>
      </c>
      <c r="C31" s="12" t="s">
        <v>104</v>
      </c>
    </row>
    <row r="33" customFormat="false" ht="28.35" hidden="false" customHeight="false" outlineLevel="0" collapsed="false">
      <c r="A33" s="3" t="s">
        <v>105</v>
      </c>
      <c r="B33" s="28" t="s">
        <v>106</v>
      </c>
      <c r="C33" s="28" t="s">
        <v>107</v>
      </c>
      <c r="D33" s="28" t="s">
        <v>108</v>
      </c>
      <c r="E33" s="28" t="s">
        <v>109</v>
      </c>
      <c r="F33" s="28" t="s">
        <v>110</v>
      </c>
    </row>
    <row r="34" customFormat="false" ht="15" hidden="false" customHeight="false" outlineLevel="0" collapsed="false">
      <c r="A34" s="9" t="s">
        <v>111</v>
      </c>
      <c r="B34" s="29" t="n">
        <v>4</v>
      </c>
      <c r="C34" s="29" t="n">
        <v>7</v>
      </c>
      <c r="D34" s="29" t="n">
        <v>10.5</v>
      </c>
      <c r="E34" s="29" t="n">
        <v>14.5</v>
      </c>
      <c r="F34" s="29" t="n">
        <v>18.5</v>
      </c>
    </row>
    <row r="35" customFormat="false" ht="14.9" hidden="false" customHeight="false" outlineLevel="0" collapsed="false">
      <c r="A35" s="11" t="s">
        <v>112</v>
      </c>
      <c r="B35" s="11" t="s">
        <v>113</v>
      </c>
      <c r="C35" s="11" t="s">
        <v>114</v>
      </c>
      <c r="D35" s="11" t="s">
        <v>115</v>
      </c>
      <c r="E35" s="11" t="s">
        <v>116</v>
      </c>
      <c r="F35" s="11" t="s">
        <v>117</v>
      </c>
    </row>
    <row r="37" customFormat="false" ht="15" hidden="false" customHeight="false" outlineLevel="0" collapsed="false">
      <c r="A37" s="30" t="s">
        <v>118</v>
      </c>
    </row>
    <row r="38" customFormat="false" ht="15" hidden="false" customHeight="false" outlineLevel="0" collapsed="false">
      <c r="A38" s="9" t="s">
        <v>119</v>
      </c>
      <c r="B38" s="10" t="n">
        <v>900000</v>
      </c>
      <c r="C38" s="14"/>
    </row>
    <row r="39" customFormat="false" ht="15" hidden="false" customHeight="false" outlineLevel="0" collapsed="false">
      <c r="A39" s="9" t="s">
        <v>120</v>
      </c>
      <c r="B39" s="10" t="n">
        <v>1500000</v>
      </c>
      <c r="C39" s="14"/>
    </row>
    <row r="40" customFormat="false" ht="15" hidden="false" customHeight="false" outlineLevel="0" collapsed="false">
      <c r="A40" s="9" t="s">
        <v>121</v>
      </c>
      <c r="B40" s="10" t="n">
        <v>400000</v>
      </c>
      <c r="C40" s="14"/>
    </row>
    <row r="41" customFormat="false" ht="15" hidden="false" customHeight="false" outlineLevel="0" collapsed="false">
      <c r="A41" s="9" t="s">
        <v>122</v>
      </c>
      <c r="B41" s="10" t="n">
        <v>600000</v>
      </c>
      <c r="C41" s="14"/>
    </row>
    <row r="42" customFormat="false" ht="15" hidden="false" customHeight="false" outlineLevel="0" collapsed="false">
      <c r="A42" s="9" t="s">
        <v>123</v>
      </c>
      <c r="B42" s="10" t="n">
        <v>200000</v>
      </c>
      <c r="C42" s="14"/>
    </row>
    <row r="43" customFormat="false" ht="15" hidden="false" customHeight="false" outlineLevel="0" collapsed="false">
      <c r="A43" s="9" t="s">
        <v>124</v>
      </c>
      <c r="B43" s="10" t="n">
        <v>300000</v>
      </c>
      <c r="C43" s="14"/>
    </row>
    <row r="44" customFormat="false" ht="15" hidden="false" customHeight="false" outlineLevel="0" collapsed="false">
      <c r="A44" s="9" t="s">
        <v>125</v>
      </c>
      <c r="B44" s="10" t="n">
        <v>250000</v>
      </c>
      <c r="C44" s="14"/>
    </row>
    <row r="45" customFormat="false" ht="15" hidden="false" customHeight="false" outlineLevel="0" collapsed="false">
      <c r="A45" s="9" t="s">
        <v>126</v>
      </c>
      <c r="B45" s="10" t="n">
        <v>100000</v>
      </c>
      <c r="C45" s="14"/>
    </row>
    <row r="46" customFormat="false" ht="15" hidden="false" customHeight="false" outlineLevel="0" collapsed="false">
      <c r="A46" s="9" t="s">
        <v>127</v>
      </c>
      <c r="B46" s="10" t="n">
        <v>400000</v>
      </c>
      <c r="C46" s="14"/>
    </row>
    <row r="47" customFormat="false" ht="15" hidden="false" customHeight="false" outlineLevel="0" collapsed="false">
      <c r="A47" s="9" t="s">
        <v>128</v>
      </c>
      <c r="B47" s="13" t="n">
        <f aca="false">SUM(B38:B46)</f>
        <v>4650000</v>
      </c>
      <c r="C47" s="14"/>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3"/>
    <col collapsed="false" customWidth="true" hidden="false" outlineLevel="0" max="7" min="7" style="0" width="18"/>
    <col collapsed="false" customWidth="true" hidden="false" outlineLevel="0" max="8" min="8" style="0" width="44"/>
  </cols>
  <sheetData>
    <row r="1" customFormat="false" ht="19.4" hidden="false" customHeight="false" outlineLevel="0" collapsed="false">
      <c r="A1" s="8" t="s">
        <v>129</v>
      </c>
      <c r="B1" s="8"/>
      <c r="C1" s="8"/>
      <c r="D1" s="8"/>
      <c r="E1" s="8"/>
      <c r="F1" s="8"/>
      <c r="G1" s="8"/>
    </row>
    <row r="2" customFormat="false" ht="48" hidden="false" customHeight="true" outlineLevel="0" collapsed="false">
      <c r="A2" s="7" t="s">
        <v>130</v>
      </c>
      <c r="B2" s="7"/>
      <c r="C2" s="7"/>
      <c r="D2" s="7"/>
      <c r="E2" s="7"/>
      <c r="F2" s="7"/>
      <c r="G2" s="7"/>
    </row>
    <row r="4" customFormat="false" ht="15" hidden="false" customHeight="false" outlineLevel="0" collapsed="false">
      <c r="A4" s="5" t="s">
        <v>131</v>
      </c>
      <c r="B4" s="31" t="s">
        <v>106</v>
      </c>
      <c r="C4" s="31" t="s">
        <v>107</v>
      </c>
      <c r="D4" s="31" t="s">
        <v>108</v>
      </c>
      <c r="E4" s="31" t="s">
        <v>109</v>
      </c>
      <c r="F4" s="31" t="s">
        <v>110</v>
      </c>
      <c r="G4" s="5" t="s">
        <v>132</v>
      </c>
    </row>
    <row r="5" customFormat="false" ht="15" hidden="false" customHeight="false" outlineLevel="0" collapsed="false">
      <c r="A5" s="9" t="s">
        <v>133</v>
      </c>
      <c r="B5" s="32" t="n">
        <v>1</v>
      </c>
      <c r="C5" s="32" t="n">
        <v>1</v>
      </c>
      <c r="D5" s="32" t="n">
        <v>1</v>
      </c>
      <c r="E5" s="32" t="n">
        <v>1</v>
      </c>
      <c r="F5" s="32" t="n">
        <v>1</v>
      </c>
      <c r="G5" s="10" t="n">
        <v>4800000</v>
      </c>
      <c r="H5" s="12" t="s">
        <v>134</v>
      </c>
    </row>
    <row r="6" customFormat="false" ht="41.75" hidden="false" customHeight="false" outlineLevel="0" collapsed="false">
      <c r="A6" s="9" t="s">
        <v>135</v>
      </c>
      <c r="B6" s="32" t="n">
        <v>1</v>
      </c>
      <c r="C6" s="32" t="n">
        <v>1</v>
      </c>
      <c r="D6" s="32" t="n">
        <v>1</v>
      </c>
      <c r="E6" s="32" t="n">
        <v>1</v>
      </c>
      <c r="F6" s="32" t="n">
        <v>1</v>
      </c>
      <c r="G6" s="10" t="n">
        <v>4200000</v>
      </c>
      <c r="H6" s="12" t="s">
        <v>136</v>
      </c>
    </row>
    <row r="7" customFormat="false" ht="41.75" hidden="false" customHeight="false" outlineLevel="0" collapsed="false">
      <c r="A7" s="9" t="s">
        <v>137</v>
      </c>
      <c r="B7" s="29" t="n">
        <v>0</v>
      </c>
      <c r="C7" s="29" t="n">
        <v>0</v>
      </c>
      <c r="D7" s="29" t="n">
        <v>0.4</v>
      </c>
      <c r="E7" s="29" t="n">
        <v>0.4</v>
      </c>
      <c r="F7" s="29" t="n">
        <v>0.4</v>
      </c>
      <c r="G7" s="10" t="n">
        <v>4200000</v>
      </c>
      <c r="H7" s="12" t="s">
        <v>138</v>
      </c>
    </row>
    <row r="8" customFormat="false" ht="28.35" hidden="false" customHeight="false" outlineLevel="0" collapsed="false">
      <c r="A8" s="9" t="s">
        <v>139</v>
      </c>
      <c r="B8" s="29" t="n">
        <v>0</v>
      </c>
      <c r="C8" s="29" t="n">
        <v>0.5</v>
      </c>
      <c r="D8" s="29" t="n">
        <v>0.5</v>
      </c>
      <c r="E8" s="29" t="n">
        <v>0.5</v>
      </c>
      <c r="F8" s="29" t="n">
        <v>0.5</v>
      </c>
      <c r="G8" s="10" t="n">
        <v>3200000</v>
      </c>
      <c r="H8" s="12" t="s">
        <v>140</v>
      </c>
    </row>
    <row r="9" customFormat="false" ht="41.75" hidden="false" customHeight="false" outlineLevel="0" collapsed="false">
      <c r="A9" s="9" t="s">
        <v>141</v>
      </c>
      <c r="B9" s="33" t="n">
        <f aca="false">ROUNDUP(前提条件!B$34/前提条件!$B$30-B6-B7,0)</f>
        <v>2</v>
      </c>
      <c r="C9" s="33" t="n">
        <f aca="false">ROUNDUP(前提条件!C$34/前提条件!$B$30-C6-C7,0)</f>
        <v>4</v>
      </c>
      <c r="D9" s="33" t="n">
        <f aca="false">ROUNDUP(前提条件!D$34/前提条件!$B$30-D6-D7,0)</f>
        <v>6</v>
      </c>
      <c r="E9" s="33" t="n">
        <f aca="false">ROUNDUP(前提条件!E$34/前提条件!$B$30-E6-E7,0)</f>
        <v>9</v>
      </c>
      <c r="F9" s="33" t="n">
        <f aca="false">ROUNDUP(前提条件!F$34/前提条件!$B$30-F6-F7,0)</f>
        <v>11</v>
      </c>
      <c r="G9" s="10" t="n">
        <v>3600000</v>
      </c>
      <c r="H9" s="12" t="s">
        <v>142</v>
      </c>
    </row>
    <row r="10" customFormat="false" ht="28.35" hidden="false" customHeight="false" outlineLevel="0" collapsed="false">
      <c r="A10" s="9" t="s">
        <v>143</v>
      </c>
      <c r="B10" s="34" t="n">
        <v>1</v>
      </c>
      <c r="C10" s="34" t="n">
        <v>1</v>
      </c>
      <c r="D10" s="34" t="n">
        <v>1</v>
      </c>
      <c r="E10" s="34" t="n">
        <v>1</v>
      </c>
      <c r="F10" s="34" t="n">
        <v>1</v>
      </c>
      <c r="G10" s="10" t="n">
        <v>600000</v>
      </c>
      <c r="H10" s="12" t="s">
        <v>144</v>
      </c>
    </row>
    <row r="11" customFormat="false" ht="15" hidden="false" customHeight="false" outlineLevel="0" collapsed="false">
      <c r="A11" s="35" t="s">
        <v>145</v>
      </c>
      <c r="B11" s="36" t="n">
        <f aca="false">B5+B6+B7+B8+B9</f>
        <v>4</v>
      </c>
      <c r="C11" s="36" t="n">
        <f aca="false">C5+C6+C7+C8+C9</f>
        <v>6.5</v>
      </c>
      <c r="D11" s="36" t="n">
        <f aca="false">D5+D6+D7+D8+D9</f>
        <v>8.9</v>
      </c>
      <c r="E11" s="36" t="n">
        <f aca="false">E5+E6+E7+E8+E9</f>
        <v>11.9</v>
      </c>
      <c r="F11" s="36" t="n">
        <f aca="false">F5+F6+F7+F8+F9</f>
        <v>13.9</v>
      </c>
    </row>
    <row r="13" customFormat="false" ht="15" hidden="false" customHeight="false" outlineLevel="0" collapsed="false">
      <c r="A13" s="2" t="s">
        <v>146</v>
      </c>
    </row>
    <row r="14" customFormat="false" ht="15" hidden="false" customHeight="false" outlineLevel="0" collapsed="false">
      <c r="A14" s="5" t="s">
        <v>14</v>
      </c>
      <c r="B14" s="31" t="s">
        <v>106</v>
      </c>
      <c r="C14" s="31" t="s">
        <v>107</v>
      </c>
      <c r="D14" s="31" t="s">
        <v>108</v>
      </c>
      <c r="E14" s="31" t="s">
        <v>109</v>
      </c>
      <c r="F14" s="31" t="s">
        <v>110</v>
      </c>
    </row>
    <row r="15" customFormat="false" ht="15" hidden="false" customHeight="false" outlineLevel="0" collapsed="false">
      <c r="A15" s="9" t="s">
        <v>147</v>
      </c>
      <c r="B15" s="13" t="n">
        <f aca="false">B5*$G$5</f>
        <v>4800000</v>
      </c>
      <c r="C15" s="13" t="n">
        <f aca="false">C5*$G$5</f>
        <v>4800000</v>
      </c>
      <c r="D15" s="13" t="n">
        <f aca="false">D5*$G$5</f>
        <v>4800000</v>
      </c>
      <c r="E15" s="13" t="n">
        <f aca="false">E5*$G$5</f>
        <v>4800000</v>
      </c>
      <c r="F15" s="13" t="n">
        <f aca="false">F5*$G$5</f>
        <v>4800000</v>
      </c>
    </row>
    <row r="16" customFormat="false" ht="15" hidden="false" customHeight="false" outlineLevel="0" collapsed="false">
      <c r="A16" s="9" t="s">
        <v>148</v>
      </c>
      <c r="B16" s="13" t="n">
        <f aca="false">B6*$G$6</f>
        <v>4200000</v>
      </c>
      <c r="C16" s="13" t="n">
        <f aca="false">C6*$G$6</f>
        <v>4200000</v>
      </c>
      <c r="D16" s="13" t="n">
        <f aca="false">D6*$G$6</f>
        <v>4200000</v>
      </c>
      <c r="E16" s="13" t="n">
        <f aca="false">E6*$G$6</f>
        <v>4200000</v>
      </c>
      <c r="F16" s="13" t="n">
        <f aca="false">F6*$G$6</f>
        <v>4200000</v>
      </c>
    </row>
    <row r="17" customFormat="false" ht="15" hidden="false" customHeight="false" outlineLevel="0" collapsed="false">
      <c r="A17" s="9" t="s">
        <v>137</v>
      </c>
      <c r="B17" s="13" t="n">
        <f aca="false">B7*$G$7</f>
        <v>0</v>
      </c>
      <c r="C17" s="13" t="n">
        <f aca="false">C7*$G$7</f>
        <v>0</v>
      </c>
      <c r="D17" s="13" t="n">
        <f aca="false">D7*$G$7</f>
        <v>1680000</v>
      </c>
      <c r="E17" s="13" t="n">
        <f aca="false">E7*$G$7</f>
        <v>1680000</v>
      </c>
      <c r="F17" s="13" t="n">
        <f aca="false">F7*$G$7</f>
        <v>1680000</v>
      </c>
    </row>
    <row r="18" customFormat="false" ht="15" hidden="false" customHeight="false" outlineLevel="0" collapsed="false">
      <c r="A18" s="9" t="s">
        <v>149</v>
      </c>
      <c r="B18" s="13" t="n">
        <f aca="false">B8*$G$8</f>
        <v>0</v>
      </c>
      <c r="C18" s="13" t="n">
        <f aca="false">C8*$G$8</f>
        <v>1600000</v>
      </c>
      <c r="D18" s="13" t="n">
        <f aca="false">D8*$G$8</f>
        <v>1600000</v>
      </c>
      <c r="E18" s="13" t="n">
        <f aca="false">E8*$G$8</f>
        <v>1600000</v>
      </c>
      <c r="F18" s="13" t="n">
        <f aca="false">F8*$G$8</f>
        <v>1600000</v>
      </c>
    </row>
    <row r="19" customFormat="false" ht="15" hidden="false" customHeight="false" outlineLevel="0" collapsed="false">
      <c r="A19" s="9" t="s">
        <v>150</v>
      </c>
      <c r="B19" s="13" t="n">
        <f aca="false">B9*$G$9</f>
        <v>7200000</v>
      </c>
      <c r="C19" s="13" t="n">
        <f aca="false">C9*$G$9</f>
        <v>14400000</v>
      </c>
      <c r="D19" s="13" t="n">
        <f aca="false">D9*$G$9</f>
        <v>21600000</v>
      </c>
      <c r="E19" s="13" t="n">
        <f aca="false">E9*$G$9</f>
        <v>32400000</v>
      </c>
      <c r="F19" s="13" t="n">
        <f aca="false">F9*$G$9</f>
        <v>39600000</v>
      </c>
    </row>
    <row r="20" customFormat="false" ht="15" hidden="false" customHeight="false" outlineLevel="0" collapsed="false">
      <c r="A20" s="9" t="s">
        <v>151</v>
      </c>
      <c r="B20" s="13" t="n">
        <f aca="false">B10*$G$10</f>
        <v>600000</v>
      </c>
      <c r="C20" s="13" t="n">
        <f aca="false">C10*$G$10</f>
        <v>600000</v>
      </c>
      <c r="D20" s="13" t="n">
        <f aca="false">D10*$G$10</f>
        <v>600000</v>
      </c>
      <c r="E20" s="13" t="n">
        <f aca="false">E10*$G$10</f>
        <v>600000</v>
      </c>
      <c r="F20" s="13" t="n">
        <f aca="false">F10*$G$10</f>
        <v>600000</v>
      </c>
    </row>
    <row r="21" customFormat="false" ht="15" hidden="false" customHeight="false" outlineLevel="0" collapsed="false">
      <c r="A21" s="35" t="s">
        <v>152</v>
      </c>
      <c r="B21" s="16" t="n">
        <f aca="false">SUM(B15:B20)</f>
        <v>16800000</v>
      </c>
      <c r="C21" s="16" t="n">
        <f aca="false">SUM(C15:C20)</f>
        <v>25600000</v>
      </c>
      <c r="D21" s="16" t="n">
        <f aca="false">SUM(D15:D20)</f>
        <v>34480000</v>
      </c>
      <c r="E21" s="16" t="n">
        <f aca="false">SUM(E15:E20)</f>
        <v>45280000</v>
      </c>
      <c r="F21" s="16" t="n">
        <f aca="false">SUM(F15:F20)</f>
        <v>52480000</v>
      </c>
    </row>
    <row r="22" customFormat="false" ht="15" hidden="false" customHeight="false" outlineLevel="0" collapsed="false">
      <c r="A22" s="9" t="s">
        <v>153</v>
      </c>
      <c r="B22" s="13" t="n">
        <f aca="false">B21*0.15</f>
        <v>2520000</v>
      </c>
      <c r="C22" s="13" t="n">
        <f aca="false">C21*0.15</f>
        <v>3840000</v>
      </c>
      <c r="D22" s="13" t="n">
        <f aca="false">D21*0.15</f>
        <v>5172000</v>
      </c>
      <c r="E22" s="13" t="n">
        <f aca="false">E21*0.15</f>
        <v>6792000</v>
      </c>
      <c r="F22" s="13" t="n">
        <f aca="false">F21*0.15</f>
        <v>7872000</v>
      </c>
    </row>
    <row r="23" customFormat="false" ht="15" hidden="false" customHeight="false" outlineLevel="0" collapsed="false">
      <c r="A23" s="35" t="s">
        <v>154</v>
      </c>
      <c r="B23" s="16" t="n">
        <f aca="false">B21+B22</f>
        <v>19320000</v>
      </c>
      <c r="C23" s="16" t="n">
        <f aca="false">C21+C22</f>
        <v>29440000</v>
      </c>
      <c r="D23" s="16" t="n">
        <f aca="false">D21+D22</f>
        <v>39652000</v>
      </c>
      <c r="E23" s="16" t="n">
        <f aca="false">E21+E22</f>
        <v>52072000</v>
      </c>
      <c r="F23" s="16" t="n">
        <f aca="false">F21+F22</f>
        <v>60352000</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155</v>
      </c>
      <c r="B1" s="8"/>
      <c r="C1" s="8"/>
    </row>
    <row r="2" customFormat="false" ht="30" hidden="false" customHeight="true" outlineLevel="0" collapsed="false">
      <c r="A2" s="7" t="s">
        <v>156</v>
      </c>
      <c r="B2" s="7"/>
      <c r="C2" s="7"/>
    </row>
    <row r="4" customFormat="false" ht="15" hidden="false" customHeight="false" outlineLevel="0" collapsed="false">
      <c r="A4" s="2" t="s">
        <v>157</v>
      </c>
    </row>
    <row r="5" customFormat="false" ht="15" hidden="false" customHeight="false" outlineLevel="0" collapsed="false">
      <c r="A5" s="37" t="s">
        <v>158</v>
      </c>
      <c r="B5" s="38" t="n">
        <f aca="false">初期投資!$B$15</f>
        <v>51420564.13824</v>
      </c>
    </row>
    <row r="7" customFormat="false" ht="15" hidden="false" customHeight="false" outlineLevel="0" collapsed="false">
      <c r="A7" s="2" t="s">
        <v>159</v>
      </c>
    </row>
    <row r="8" customFormat="false" ht="15" hidden="false" customHeight="false" outlineLevel="0" collapsed="false">
      <c r="A8" s="5" t="s">
        <v>160</v>
      </c>
      <c r="B8" s="5" t="s">
        <v>161</v>
      </c>
      <c r="C8" s="5" t="s">
        <v>17</v>
      </c>
    </row>
    <row r="9" customFormat="false" ht="15" hidden="false" customHeight="false" outlineLevel="0" collapsed="false">
      <c r="A9" s="9" t="s">
        <v>162</v>
      </c>
      <c r="B9" s="25" t="n">
        <v>5000000</v>
      </c>
      <c r="C9" s="12" t="s">
        <v>163</v>
      </c>
    </row>
    <row r="10" customFormat="false" ht="28.35" hidden="false" customHeight="false" outlineLevel="0" collapsed="false">
      <c r="A10" s="9" t="s">
        <v>164</v>
      </c>
      <c r="B10" s="25" t="n">
        <v>15000000</v>
      </c>
      <c r="C10" s="12" t="s">
        <v>165</v>
      </c>
    </row>
    <row r="11" customFormat="false" ht="15" hidden="false" customHeight="false" outlineLevel="0" collapsed="false">
      <c r="A11" s="9" t="s">
        <v>166</v>
      </c>
      <c r="B11" s="25" t="n">
        <v>15000000</v>
      </c>
      <c r="C11" s="12" t="s">
        <v>167</v>
      </c>
    </row>
    <row r="12" customFormat="false" ht="15" hidden="false" customHeight="false" outlineLevel="0" collapsed="false">
      <c r="A12" s="9" t="s">
        <v>168</v>
      </c>
      <c r="B12" s="25" t="n">
        <v>5000000</v>
      </c>
      <c r="C12" s="12" t="s">
        <v>169</v>
      </c>
    </row>
    <row r="13" customFormat="false" ht="15" hidden="false" customHeight="false" outlineLevel="0" collapsed="false">
      <c r="A13" s="15" t="s">
        <v>170</v>
      </c>
      <c r="B13" s="16" t="n">
        <f aca="false">SUM(B9:B12)</f>
        <v>40000000</v>
      </c>
      <c r="C13" s="17"/>
    </row>
    <row r="14" customFormat="false" ht="15" hidden="false" customHeight="false" outlineLevel="0" collapsed="false">
      <c r="A14" s="35" t="s">
        <v>171</v>
      </c>
      <c r="B14" s="39" t="n">
        <f aca="false">B13-B5</f>
        <v>-11420564.13824</v>
      </c>
      <c r="C14" s="14"/>
    </row>
    <row r="16" customFormat="false" ht="60" hidden="false" customHeight="true" outlineLevel="0" collapsed="false">
      <c r="A16" s="7" t="s">
        <v>172</v>
      </c>
      <c r="B16" s="7"/>
      <c r="C16" s="7"/>
    </row>
    <row r="17" customFormat="false" ht="15" hidden="false" customHeight="false" outlineLevel="0" collapsed="false">
      <c r="A17" s="2" t="s">
        <v>173</v>
      </c>
    </row>
    <row r="18" customFormat="false" ht="15" hidden="false" customHeight="false" outlineLevel="0" collapsed="false">
      <c r="A18" s="9" t="s">
        <v>174</v>
      </c>
      <c r="B18" s="13" t="n">
        <f aca="false">B5-初期投資!$B$14</f>
        <v>28650000</v>
      </c>
    </row>
    <row r="19" customFormat="false" ht="15" hidden="false" customHeight="false" outlineLevel="0" collapsed="false">
      <c r="A19" s="11" t="s">
        <v>175</v>
      </c>
      <c r="B19" s="13" t="n">
        <f aca="false">-収支計画5年!$F$35</f>
        <v>79843508.75</v>
      </c>
    </row>
    <row r="20" customFormat="false" ht="15" hidden="false" customHeight="false" outlineLevel="0" collapsed="false">
      <c r="A20" s="15" t="s">
        <v>176</v>
      </c>
      <c r="B20" s="16" t="n">
        <f aca="false">B18+B19</f>
        <v>108493508.75</v>
      </c>
    </row>
    <row r="21" customFormat="false" ht="15" hidden="false" customHeight="false" outlineLevel="0" collapsed="false">
      <c r="A21" s="35" t="s">
        <v>177</v>
      </c>
      <c r="B21" s="39" t="n">
        <f aca="false">B13-B20</f>
        <v>-68493508.75</v>
      </c>
    </row>
    <row r="22" customFormat="false" ht="45" hidden="false" customHeight="true" outlineLevel="0" collapsed="false">
      <c r="A22" s="40" t="s">
        <v>178</v>
      </c>
      <c r="B22" s="40"/>
      <c r="C22" s="40"/>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179</v>
      </c>
      <c r="B1" s="8"/>
      <c r="C1" s="8"/>
      <c r="D1" s="8"/>
      <c r="E1" s="8"/>
    </row>
    <row r="2" customFormat="false" ht="42" hidden="false" customHeight="true" outlineLevel="0" collapsed="false">
      <c r="A2" s="7" t="s">
        <v>180</v>
      </c>
      <c r="B2" s="7"/>
      <c r="C2" s="7"/>
      <c r="D2" s="7"/>
      <c r="E2" s="7"/>
    </row>
    <row r="4" customFormat="false" ht="15" hidden="false" customHeight="false" outlineLevel="0" collapsed="false">
      <c r="A4" s="2" t="s">
        <v>181</v>
      </c>
    </row>
    <row r="5" customFormat="false" ht="15" hidden="false" customHeight="false" outlineLevel="0" collapsed="false">
      <c r="A5" s="9" t="s">
        <v>182</v>
      </c>
      <c r="B5" s="25" t="n">
        <v>10000000</v>
      </c>
      <c r="C5" s="12" t="s">
        <v>95</v>
      </c>
    </row>
    <row r="6" customFormat="false" ht="15" hidden="false" customHeight="false" outlineLevel="0" collapsed="false">
      <c r="A6" s="9" t="s">
        <v>183</v>
      </c>
      <c r="B6" s="18" t="n">
        <v>1</v>
      </c>
      <c r="C6" s="12" t="s">
        <v>184</v>
      </c>
    </row>
    <row r="7" customFormat="false" ht="15" hidden="false" customHeight="false" outlineLevel="0" collapsed="false">
      <c r="A7" s="9" t="s">
        <v>185</v>
      </c>
      <c r="B7" s="18" t="n">
        <v>5</v>
      </c>
      <c r="C7" s="12" t="s">
        <v>184</v>
      </c>
    </row>
    <row r="8" customFormat="false" ht="41.75" hidden="false" customHeight="false" outlineLevel="0" collapsed="false">
      <c r="A8" s="9" t="s">
        <v>186</v>
      </c>
      <c r="B8" s="23" t="n">
        <v>0.03</v>
      </c>
      <c r="C8" s="22" t="s">
        <v>187</v>
      </c>
    </row>
    <row r="10" customFormat="false" ht="15" hidden="false" customHeight="false" outlineLevel="0" collapsed="false">
      <c r="A10" s="5" t="s">
        <v>188</v>
      </c>
      <c r="B10" s="5" t="s">
        <v>189</v>
      </c>
      <c r="C10" s="5" t="s">
        <v>190</v>
      </c>
      <c r="D10" s="5" t="s">
        <v>191</v>
      </c>
      <c r="E10" s="5" t="s">
        <v>192</v>
      </c>
      <c r="F10" s="5" t="s">
        <v>193</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194</v>
      </c>
      <c r="B17" s="17"/>
      <c r="C17" s="17"/>
      <c r="D17" s="16" t="n">
        <f aca="false">SUM(D11:D16)</f>
        <v>1200000</v>
      </c>
      <c r="E17" s="16" t="n">
        <f aca="false">SUM(E11:E16)</f>
        <v>11200000</v>
      </c>
      <c r="F17" s="17"/>
    </row>
    <row r="19" customFormat="false" ht="15" hidden="false" customHeight="false" outlineLevel="0" collapsed="false">
      <c r="A19" s="2" t="s">
        <v>195</v>
      </c>
    </row>
    <row r="20" customFormat="false" ht="15" hidden="false" customHeight="false" outlineLevel="0" collapsed="false">
      <c r="A20" s="9" t="s">
        <v>182</v>
      </c>
      <c r="B20" s="25" t="n">
        <v>15000000</v>
      </c>
      <c r="C20" s="12" t="s">
        <v>95</v>
      </c>
    </row>
    <row r="21" customFormat="false" ht="15" hidden="false" customHeight="false" outlineLevel="0" collapsed="false">
      <c r="A21" s="9" t="s">
        <v>183</v>
      </c>
      <c r="B21" s="18" t="n">
        <v>1</v>
      </c>
      <c r="C21" s="12" t="s">
        <v>184</v>
      </c>
    </row>
    <row r="22" customFormat="false" ht="15" hidden="false" customHeight="false" outlineLevel="0" collapsed="false">
      <c r="A22" s="9" t="s">
        <v>185</v>
      </c>
      <c r="B22" s="18" t="n">
        <v>6</v>
      </c>
      <c r="C22" s="12" t="s">
        <v>184</v>
      </c>
    </row>
    <row r="23" customFormat="false" ht="41.75" hidden="false" customHeight="false" outlineLevel="0" collapsed="false">
      <c r="A23" s="9" t="s">
        <v>186</v>
      </c>
      <c r="B23" s="23" t="n">
        <v>0.035</v>
      </c>
      <c r="C23" s="22" t="s">
        <v>187</v>
      </c>
    </row>
    <row r="25" customFormat="false" ht="15" hidden="false" customHeight="false" outlineLevel="0" collapsed="false">
      <c r="A25" s="5" t="s">
        <v>188</v>
      </c>
      <c r="B25" s="5" t="s">
        <v>189</v>
      </c>
      <c r="C25" s="5" t="s">
        <v>190</v>
      </c>
      <c r="D25" s="5" t="s">
        <v>191</v>
      </c>
      <c r="E25" s="5" t="s">
        <v>192</v>
      </c>
      <c r="F25" s="5" t="s">
        <v>193</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194</v>
      </c>
      <c r="B33" s="17"/>
      <c r="C33" s="17"/>
      <c r="D33" s="16" t="n">
        <f aca="false">SUM(D26:D32)</f>
        <v>2362500</v>
      </c>
      <c r="E33" s="16" t="n">
        <f aca="false">SUM(E26:E32)</f>
        <v>17362500</v>
      </c>
      <c r="F33" s="17"/>
    </row>
    <row r="35" customFormat="false" ht="69.75" hidden="false" customHeight="true" outlineLevel="0" collapsed="false">
      <c r="A35" s="7" t="s">
        <v>196</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197</v>
      </c>
      <c r="B1" s="8"/>
      <c r="C1" s="8"/>
      <c r="D1" s="8"/>
      <c r="E1" s="8"/>
      <c r="F1" s="8"/>
      <c r="G1" s="8"/>
      <c r="H1" s="8"/>
      <c r="I1" s="8"/>
      <c r="J1" s="8"/>
      <c r="K1" s="8"/>
      <c r="L1" s="8"/>
      <c r="M1" s="8"/>
      <c r="N1" s="8"/>
    </row>
    <row r="2" customFormat="false" ht="39.75" hidden="false" customHeight="true" outlineLevel="0" collapsed="false">
      <c r="A2" s="7" t="s">
        <v>198</v>
      </c>
      <c r="B2" s="7"/>
      <c r="C2" s="7"/>
      <c r="D2" s="7"/>
      <c r="E2" s="7"/>
      <c r="F2" s="7"/>
      <c r="G2" s="7"/>
      <c r="H2" s="7"/>
      <c r="I2" s="7"/>
      <c r="J2" s="7"/>
      <c r="K2" s="7"/>
      <c r="L2" s="7"/>
      <c r="M2" s="7"/>
      <c r="N2" s="7"/>
    </row>
    <row r="4" customFormat="false" ht="15" hidden="false" customHeight="false" outlineLevel="0" collapsed="false">
      <c r="A4" s="5" t="s">
        <v>14</v>
      </c>
      <c r="B4" s="5" t="s">
        <v>199</v>
      </c>
      <c r="C4" s="5" t="s">
        <v>200</v>
      </c>
      <c r="D4" s="5" t="s">
        <v>201</v>
      </c>
      <c r="E4" s="5" t="s">
        <v>202</v>
      </c>
      <c r="F4" s="5" t="s">
        <v>203</v>
      </c>
      <c r="G4" s="5" t="s">
        <v>204</v>
      </c>
      <c r="H4" s="5" t="s">
        <v>205</v>
      </c>
      <c r="I4" s="5" t="s">
        <v>206</v>
      </c>
      <c r="J4" s="5" t="s">
        <v>207</v>
      </c>
      <c r="K4" s="5" t="s">
        <v>208</v>
      </c>
      <c r="L4" s="5" t="s">
        <v>209</v>
      </c>
      <c r="M4" s="5" t="s">
        <v>210</v>
      </c>
    </row>
    <row r="5" customFormat="false" ht="15" hidden="false" customHeight="false" outlineLevel="0" collapsed="false">
      <c r="A5" s="9" t="s">
        <v>211</v>
      </c>
      <c r="B5" s="19" t="n">
        <v>3</v>
      </c>
      <c r="C5" s="19" t="n">
        <v>3</v>
      </c>
      <c r="D5" s="19" t="n">
        <v>3</v>
      </c>
      <c r="E5" s="19" t="n">
        <v>4</v>
      </c>
      <c r="F5" s="19" t="n">
        <v>4</v>
      </c>
      <c r="G5" s="19" t="n">
        <v>4</v>
      </c>
      <c r="H5" s="19" t="n">
        <v>4</v>
      </c>
      <c r="I5" s="19" t="n">
        <v>4</v>
      </c>
      <c r="J5" s="19" t="n">
        <v>4</v>
      </c>
      <c r="K5" s="19" t="n">
        <v>5</v>
      </c>
      <c r="L5" s="19" t="n">
        <v>5</v>
      </c>
      <c r="M5" s="19" t="n">
        <v>5</v>
      </c>
    </row>
    <row r="6" customFormat="false" ht="15" hidden="false" customHeight="false" outlineLevel="0" collapsed="false">
      <c r="A6" s="9" t="s">
        <v>212</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213</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214</v>
      </c>
      <c r="B8" s="34" t="n">
        <f aca="false">B5*B6</f>
        <v>2.4</v>
      </c>
      <c r="C8" s="34" t="n">
        <f aca="false">C5*C6</f>
        <v>2.4</v>
      </c>
      <c r="D8" s="34" t="n">
        <f aca="false">D5*D6</f>
        <v>2.4</v>
      </c>
      <c r="E8" s="34" t="n">
        <f aca="false">E5*E6</f>
        <v>3.2</v>
      </c>
      <c r="F8" s="34" t="n">
        <f aca="false">F5*F6</f>
        <v>3.2</v>
      </c>
      <c r="G8" s="34" t="n">
        <f aca="false">G5*G6</f>
        <v>3.2</v>
      </c>
      <c r="H8" s="34" t="n">
        <f aca="false">H5*H6</f>
        <v>3.2</v>
      </c>
      <c r="I8" s="34" t="n">
        <f aca="false">I5*I6</f>
        <v>3.2</v>
      </c>
      <c r="J8" s="34" t="n">
        <f aca="false">J5*J6</f>
        <v>3.2</v>
      </c>
      <c r="K8" s="34" t="n">
        <f aca="false">K5*K6</f>
        <v>4</v>
      </c>
      <c r="L8" s="34" t="n">
        <f aca="false">L5*L6</f>
        <v>4</v>
      </c>
      <c r="M8" s="34" t="n">
        <f aca="false">M5*M6</f>
        <v>4</v>
      </c>
    </row>
    <row r="9" customFormat="false" ht="15" hidden="false" customHeight="false" outlineLevel="0" collapsed="false">
      <c r="A9" s="9" t="s">
        <v>215</v>
      </c>
      <c r="B9" s="41" t="n">
        <f aca="false">B8/前提条件!$B$3</f>
        <v>0.12</v>
      </c>
      <c r="C9" s="41" t="n">
        <f aca="false">C8/前提条件!$B$3</f>
        <v>0.12</v>
      </c>
      <c r="D9" s="41" t="n">
        <f aca="false">D8/前提条件!$B$3</f>
        <v>0.12</v>
      </c>
      <c r="E9" s="41" t="n">
        <f aca="false">E8/前提条件!$B$3</f>
        <v>0.16</v>
      </c>
      <c r="F9" s="41" t="n">
        <f aca="false">F8/前提条件!$B$3</f>
        <v>0.16</v>
      </c>
      <c r="G9" s="41" t="n">
        <f aca="false">G8/前提条件!$B$3</f>
        <v>0.16</v>
      </c>
      <c r="H9" s="41" t="n">
        <f aca="false">H8/前提条件!$B$3</f>
        <v>0.16</v>
      </c>
      <c r="I9" s="41" t="n">
        <f aca="false">I8/前提条件!$B$3</f>
        <v>0.16</v>
      </c>
      <c r="J9" s="41" t="n">
        <f aca="false">J8/前提条件!$B$3</f>
        <v>0.16</v>
      </c>
      <c r="K9" s="41" t="n">
        <f aca="false">K8/前提条件!$B$3</f>
        <v>0.2</v>
      </c>
      <c r="L9" s="41" t="n">
        <f aca="false">L8/前提条件!$B$3</f>
        <v>0.2</v>
      </c>
      <c r="M9" s="41" t="n">
        <f aca="false">M8/前提条件!$B$3</f>
        <v>0.2</v>
      </c>
    </row>
    <row r="10" customFormat="false" ht="15" hidden="false" customHeight="false" outlineLevel="0" collapsed="false">
      <c r="A10" s="11" t="s">
        <v>216</v>
      </c>
      <c r="B10" s="13" t="n">
        <f aca="false">前提条件!$B$5*前提条件!$B$9+前提条件!$B$13*(前提条件!$B$10+前提条件!$B$12*前提条件!$B$11)*前提条件!$B$9+前提条件!$B$5*前提条件!$B$9*前提条件!$B$14</f>
        <v>11438.0568</v>
      </c>
      <c r="C10" s="13" t="n">
        <f aca="false">前提条件!$B$5*前提条件!$B$9+前提条件!$B$13*(前提条件!$B$10+前提条件!$B$12*前提条件!$B$11)*前提条件!$B$9+前提条件!$B$5*前提条件!$B$9*前提条件!$B$14</f>
        <v>11438.0568</v>
      </c>
      <c r="D10" s="13" t="n">
        <f aca="false">前提条件!$B$5*前提条件!$B$9+前提条件!$B$13*(前提条件!$B$10+前提条件!$B$12*前提条件!$B$11)*前提条件!$B$9+前提条件!$B$5*前提条件!$B$9*前提条件!$B$14</f>
        <v>11438.0568</v>
      </c>
      <c r="E10" s="13" t="n">
        <f aca="false">前提条件!$B$5*前提条件!$B$9+前提条件!$B$13*(前提条件!$B$10+前提条件!$B$12*前提条件!$B$11)*前提条件!$B$9+前提条件!$B$5*前提条件!$B$9*前提条件!$B$14</f>
        <v>11438.0568</v>
      </c>
      <c r="F10" s="13" t="n">
        <f aca="false">前提条件!$B$5*前提条件!$B$9+前提条件!$B$13*(前提条件!$B$10+前提条件!$B$12*前提条件!$B$11)*前提条件!$B$9+前提条件!$B$5*前提条件!$B$9*前提条件!$B$14</f>
        <v>11438.0568</v>
      </c>
      <c r="G10" s="13" t="n">
        <f aca="false">前提条件!$B$5*前提条件!$B$9+前提条件!$B$13*(前提条件!$B$10+前提条件!$B$12*前提条件!$B$11)*前提条件!$B$9+前提条件!$B$5*前提条件!$B$9*前提条件!$B$14</f>
        <v>11438.0568</v>
      </c>
      <c r="H10" s="13" t="n">
        <f aca="false">前提条件!$B$5*前提条件!$B$9+前提条件!$B$13*(前提条件!$B$10+前提条件!$B$12*前提条件!$B$11)*前提条件!$B$9+前提条件!$B$5*前提条件!$B$9*前提条件!$B$14</f>
        <v>11438.0568</v>
      </c>
      <c r="I10" s="13" t="n">
        <f aca="false">前提条件!$B$5*前提条件!$B$9+前提条件!$B$13*(前提条件!$B$10+前提条件!$B$12*前提条件!$B$11)*前提条件!$B$9+前提条件!$B$5*前提条件!$B$9*前提条件!$B$14</f>
        <v>11438.0568</v>
      </c>
      <c r="J10" s="13" t="n">
        <f aca="false">前提条件!$B$5*前提条件!$B$9+前提条件!$B$13*(前提条件!$B$10+前提条件!$B$12*前提条件!$B$11)*前提条件!$B$9+前提条件!$B$5*前提条件!$B$9*前提条件!$B$14</f>
        <v>11438.0568</v>
      </c>
      <c r="K10" s="13" t="n">
        <f aca="false">前提条件!$B$5*前提条件!$B$9+前提条件!$B$13*(前提条件!$B$10+前提条件!$B$12*前提条件!$B$11)*前提条件!$B$9+前提条件!$B$5*前提条件!$B$9*前提条件!$B$14</f>
        <v>11438.0568</v>
      </c>
      <c r="L10" s="13" t="n">
        <f aca="false">前提条件!$B$5*前提条件!$B$9+前提条件!$B$13*(前提条件!$B$10+前提条件!$B$12*前提条件!$B$11)*前提条件!$B$9+前提条件!$B$5*前提条件!$B$9*前提条件!$B$14</f>
        <v>11438.0568</v>
      </c>
      <c r="M10" s="13" t="n">
        <f aca="false">前提条件!$B$5*前提条件!$B$9+前提条件!$B$13*(前提条件!$B$10+前提条件!$B$12*前提条件!$B$11)*前提条件!$B$9+前提条件!$B$5*前提条件!$B$9*前提条件!$B$14</f>
        <v>11438.0568</v>
      </c>
    </row>
    <row r="11" customFormat="false" ht="15" hidden="false" customHeight="false" outlineLevel="0" collapsed="false">
      <c r="A11" s="9" t="s">
        <v>217</v>
      </c>
      <c r="B11" s="13" t="n">
        <f aca="false">B8*B10*B7</f>
        <v>576478.06272</v>
      </c>
      <c r="C11" s="13" t="n">
        <f aca="false">C8*C10*C7</f>
        <v>576478.06272</v>
      </c>
      <c r="D11" s="13" t="n">
        <f aca="false">D8*D10*D7</f>
        <v>576478.06272</v>
      </c>
      <c r="E11" s="13" t="n">
        <f aca="false">E8*E10*E7</f>
        <v>768637.41696</v>
      </c>
      <c r="F11" s="13" t="n">
        <f aca="false">F8*F10*F7</f>
        <v>768637.41696</v>
      </c>
      <c r="G11" s="13" t="n">
        <f aca="false">G8*G10*G7</f>
        <v>768637.41696</v>
      </c>
      <c r="H11" s="13" t="n">
        <f aca="false">H8*H10*H7</f>
        <v>768637.41696</v>
      </c>
      <c r="I11" s="13" t="n">
        <f aca="false">I8*I10*I7</f>
        <v>768637.41696</v>
      </c>
      <c r="J11" s="13" t="n">
        <f aca="false">J8*J10*J7</f>
        <v>549026.7264</v>
      </c>
      <c r="K11" s="13" t="n">
        <f aca="false">K8*K10*K7</f>
        <v>777787.8624</v>
      </c>
      <c r="L11" s="13" t="n">
        <f aca="false">L8*L10*L7</f>
        <v>960796.7712</v>
      </c>
      <c r="M11" s="13" t="n">
        <f aca="false">M8*M10*M7</f>
        <v>960796.7712</v>
      </c>
    </row>
    <row r="12" customFormat="false" ht="15" hidden="false" customHeight="false" outlineLevel="0" collapsed="false">
      <c r="A12" s="9" t="s">
        <v>218</v>
      </c>
      <c r="B12" s="13" t="n">
        <v>0</v>
      </c>
      <c r="C12" s="13" t="n">
        <v>0</v>
      </c>
      <c r="D12" s="13" t="n">
        <f aca="false">B11</f>
        <v>576478.06272</v>
      </c>
      <c r="E12" s="13" t="n">
        <f aca="false">C11</f>
        <v>576478.06272</v>
      </c>
      <c r="F12" s="13" t="n">
        <f aca="false">D11</f>
        <v>576478.06272</v>
      </c>
      <c r="G12" s="13" t="n">
        <f aca="false">E11</f>
        <v>768637.41696</v>
      </c>
      <c r="H12" s="13" t="n">
        <f aca="false">F11</f>
        <v>768637.41696</v>
      </c>
      <c r="I12" s="13" t="n">
        <f aca="false">G11</f>
        <v>768637.41696</v>
      </c>
      <c r="J12" s="13" t="n">
        <f aca="false">H11</f>
        <v>768637.41696</v>
      </c>
      <c r="K12" s="13" t="n">
        <f aca="false">I11</f>
        <v>768637.41696</v>
      </c>
      <c r="L12" s="13" t="n">
        <f aca="false">J11</f>
        <v>549026.7264</v>
      </c>
      <c r="M12" s="13" t="n">
        <f aca="false">K11</f>
        <v>777787.8624</v>
      </c>
    </row>
    <row r="13" customFormat="false" ht="15" hidden="false" customHeight="false" outlineLevel="0" collapsed="false">
      <c r="A13" s="9" t="s">
        <v>219</v>
      </c>
      <c r="B13" s="13" t="n">
        <f aca="false">人件費!$B$23/12+前提条件!$B$22+前提条件!$B$24/12+前提条件!$B$23/12</f>
        <v>2472500</v>
      </c>
      <c r="C13" s="13" t="n">
        <f aca="false">人件費!$B$23/12+前提条件!$B$22+前提条件!$B$24/12+前提条件!$B$23/12</f>
        <v>2472500</v>
      </c>
      <c r="D13" s="13" t="n">
        <f aca="false">人件費!$B$23/12+前提条件!$B$22+前提条件!$B$24/12+前提条件!$B$23/12</f>
        <v>2472500</v>
      </c>
      <c r="E13" s="13" t="n">
        <f aca="false">人件費!$B$23/12+前提条件!$B$22+前提条件!$B$24/12+前提条件!$B$23/12</f>
        <v>2472500</v>
      </c>
      <c r="F13" s="13" t="n">
        <f aca="false">人件費!$B$23/12+前提条件!$B$22+前提条件!$B$24/12+前提条件!$B$23/12</f>
        <v>2472500</v>
      </c>
      <c r="G13" s="13" t="n">
        <f aca="false">人件費!$B$23/12+前提条件!$B$22+前提条件!$B$24/12+前提条件!$B$23/12</f>
        <v>2472500</v>
      </c>
      <c r="H13" s="13" t="n">
        <f aca="false">人件費!$B$23/12+前提条件!$B$22+前提条件!$B$24/12+前提条件!$B$23/12</f>
        <v>2472500</v>
      </c>
      <c r="I13" s="13" t="n">
        <f aca="false">人件費!$B$23/12+前提条件!$B$22+前提条件!$B$24/12+前提条件!$B$23/12</f>
        <v>2472500</v>
      </c>
      <c r="J13" s="13" t="n">
        <f aca="false">人件費!$B$23/12+前提条件!$B$22+前提条件!$B$24/12+前提条件!$B$23/12</f>
        <v>2472500</v>
      </c>
      <c r="K13" s="13" t="n">
        <f aca="false">人件費!$B$23/12+前提条件!$B$22+前提条件!$B$24/12+前提条件!$B$23/12</f>
        <v>2472500</v>
      </c>
      <c r="L13" s="13" t="n">
        <f aca="false">人件費!$B$23/12+前提条件!$B$22+前提条件!$B$24/12+前提条件!$B$23/12</f>
        <v>2472500</v>
      </c>
      <c r="M13" s="13" t="n">
        <f aca="false">人件費!$B$23/12+前提条件!$B$22+前提条件!$B$24/12+前提条件!$B$23/12</f>
        <v>2472500</v>
      </c>
    </row>
    <row r="14" customFormat="false" ht="15" hidden="false" customHeight="false" outlineLevel="0" collapsed="false">
      <c r="A14" s="35" t="s">
        <v>220</v>
      </c>
      <c r="B14" s="16" t="n">
        <f aca="false">B12-B13</f>
        <v>-2472500</v>
      </c>
      <c r="C14" s="16" t="n">
        <f aca="false">C12-C13</f>
        <v>-2472500</v>
      </c>
      <c r="D14" s="16" t="n">
        <f aca="false">D12-D13</f>
        <v>-1896021.93728</v>
      </c>
      <c r="E14" s="16" t="n">
        <f aca="false">E12-E13</f>
        <v>-1896021.93728</v>
      </c>
      <c r="F14" s="16" t="n">
        <f aca="false">F12-F13</f>
        <v>-1896021.93728</v>
      </c>
      <c r="G14" s="16" t="n">
        <f aca="false">G12-G13</f>
        <v>-1703862.58304</v>
      </c>
      <c r="H14" s="16" t="n">
        <f aca="false">H12-H13</f>
        <v>-1703862.58304</v>
      </c>
      <c r="I14" s="16" t="n">
        <f aca="false">I12-I13</f>
        <v>-1703862.58304</v>
      </c>
      <c r="J14" s="16" t="n">
        <f aca="false">J12-J13</f>
        <v>-1703862.58304</v>
      </c>
      <c r="K14" s="16" t="n">
        <f aca="false">K12-K13</f>
        <v>-1703862.58304</v>
      </c>
      <c r="L14" s="16" t="n">
        <f aca="false">L12-L13</f>
        <v>-1923473.2736</v>
      </c>
      <c r="M14" s="16" t="n">
        <f aca="false">M12-M13</f>
        <v>-1694712.1376</v>
      </c>
    </row>
    <row r="15" customFormat="false" ht="15" hidden="false" customHeight="false" outlineLevel="0" collapsed="false">
      <c r="A15" s="35" t="s">
        <v>221</v>
      </c>
      <c r="B15" s="39" t="n">
        <f aca="false">B14</f>
        <v>-2472500</v>
      </c>
      <c r="C15" s="39" t="n">
        <f aca="false">B15+C14</f>
        <v>-4945000</v>
      </c>
      <c r="D15" s="39" t="n">
        <f aca="false">C15+D14</f>
        <v>-6841021.93728</v>
      </c>
      <c r="E15" s="39" t="n">
        <f aca="false">D15+E14</f>
        <v>-8737043.87456</v>
      </c>
      <c r="F15" s="39" t="n">
        <f aca="false">E15+F14</f>
        <v>-10633065.81184</v>
      </c>
      <c r="G15" s="39" t="n">
        <f aca="false">F15+G14</f>
        <v>-12336928.39488</v>
      </c>
      <c r="H15" s="39" t="n">
        <f aca="false">G15+H14</f>
        <v>-14040790.97792</v>
      </c>
      <c r="I15" s="39" t="n">
        <f aca="false">H15+I14</f>
        <v>-15744653.56096</v>
      </c>
      <c r="J15" s="39" t="n">
        <f aca="false">I15+J14</f>
        <v>-17448516.144</v>
      </c>
      <c r="K15" s="39" t="n">
        <f aca="false">J15+K14</f>
        <v>-19152378.72704</v>
      </c>
      <c r="L15" s="39" t="n">
        <f aca="false">K15+L14</f>
        <v>-21075852.00064</v>
      </c>
      <c r="M15" s="39" t="n">
        <f aca="false">L15+M14</f>
        <v>-22770564.13824</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30" t="s">
        <v>222</v>
      </c>
      <c r="B17" s="42" t="n">
        <f aca="false">MIN(B15:M15)</f>
        <v>-22770564.13824</v>
      </c>
      <c r="C17" s="7" t="s">
        <v>223</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43" t="s">
        <v>224</v>
      </c>
      <c r="B1" s="43"/>
      <c r="C1" s="43"/>
      <c r="D1" s="43"/>
      <c r="E1" s="43"/>
      <c r="F1" s="43"/>
    </row>
    <row r="2" customFormat="false" ht="15" hidden="false" customHeight="false" outlineLevel="0" collapsed="false">
      <c r="A2" s="5" t="s">
        <v>14</v>
      </c>
      <c r="B2" s="31" t="s">
        <v>106</v>
      </c>
      <c r="C2" s="31" t="s">
        <v>107</v>
      </c>
      <c r="D2" s="31" t="s">
        <v>108</v>
      </c>
      <c r="E2" s="31" t="s">
        <v>109</v>
      </c>
      <c r="F2" s="31" t="s">
        <v>110</v>
      </c>
    </row>
    <row r="3" customFormat="false" ht="15" hidden="false" customHeight="false" outlineLevel="0" collapsed="false">
      <c r="A3" s="9" t="s">
        <v>225</v>
      </c>
      <c r="B3" s="34" t="n">
        <f aca="false">前提条件!B$34</f>
        <v>4</v>
      </c>
      <c r="C3" s="34" t="n">
        <f aca="false">前提条件!C$34</f>
        <v>7</v>
      </c>
      <c r="D3" s="34" t="n">
        <f aca="false">前提条件!D$34</f>
        <v>10.5</v>
      </c>
      <c r="E3" s="34" t="n">
        <f aca="false">前提条件!E$34</f>
        <v>14.5</v>
      </c>
      <c r="F3" s="34" t="n">
        <f aca="false">前提条件!F$34</f>
        <v>18.5</v>
      </c>
    </row>
    <row r="4" customFormat="false" ht="15" hidden="false" customHeight="false" outlineLevel="0" collapsed="false">
      <c r="A4" s="9" t="s">
        <v>226</v>
      </c>
      <c r="B4" s="41" t="n">
        <f aca="false">B3/前提条件!$B$3</f>
        <v>0.2</v>
      </c>
      <c r="C4" s="41" t="n">
        <f aca="false">C3/前提条件!$B$3</f>
        <v>0.35</v>
      </c>
      <c r="D4" s="41" t="n">
        <f aca="false">D3/前提条件!$B$3</f>
        <v>0.525</v>
      </c>
      <c r="E4" s="41" t="n">
        <f aca="false">E3/前提条件!$B$3</f>
        <v>0.725</v>
      </c>
      <c r="F4" s="41" t="n">
        <f aca="false">F3/前提条件!$B$3</f>
        <v>0.925</v>
      </c>
    </row>
    <row r="5" customFormat="false" ht="15" hidden="false" customHeight="false" outlineLevel="0" collapsed="false">
      <c r="A5" s="9" t="s">
        <v>227</v>
      </c>
      <c r="B5" s="44" t="n">
        <f aca="false">前提条件!$B$21</f>
        <v>250</v>
      </c>
      <c r="C5" s="44" t="n">
        <f aca="false">前提条件!$B$21</f>
        <v>250</v>
      </c>
      <c r="D5" s="44" t="n">
        <f aca="false">前提条件!$B$21</f>
        <v>250</v>
      </c>
      <c r="E5" s="44" t="n">
        <f aca="false">前提条件!$B$21</f>
        <v>250</v>
      </c>
      <c r="F5" s="44" t="n">
        <f aca="false">前提条件!$B$21</f>
        <v>250</v>
      </c>
    </row>
    <row r="6" customFormat="false" ht="14.9" hidden="false" customHeight="false" outlineLevel="0" collapsed="false">
      <c r="A6" s="9" t="s">
        <v>228</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14"/>
      <c r="B7" s="14"/>
      <c r="C7" s="14"/>
      <c r="D7" s="14"/>
      <c r="E7" s="14"/>
      <c r="F7" s="14"/>
    </row>
    <row r="8" customFormat="false" ht="15" hidden="false" customHeight="false" outlineLevel="0" collapsed="false">
      <c r="A8" s="35" t="s">
        <v>229</v>
      </c>
      <c r="B8" s="14"/>
      <c r="C8" s="14"/>
      <c r="D8" s="14"/>
      <c r="E8" s="14"/>
      <c r="F8" s="14"/>
    </row>
    <row r="9" customFormat="false" ht="15" hidden="false" customHeight="false" outlineLevel="0" collapsed="false">
      <c r="A9" s="9" t="s">
        <v>230</v>
      </c>
      <c r="B9" s="13" t="n">
        <f aca="false">B3*B6*B5</f>
        <v>10170200</v>
      </c>
      <c r="C9" s="13" t="n">
        <f aca="false">C3*C6*C5</f>
        <v>17797850</v>
      </c>
      <c r="D9" s="13" t="n">
        <f aca="false">D3*D6*D5</f>
        <v>26696775</v>
      </c>
      <c r="E9" s="13" t="n">
        <f aca="false">E3*E6*E5</f>
        <v>36866975</v>
      </c>
      <c r="F9" s="13" t="n">
        <f aca="false">F3*F6*F5</f>
        <v>47037175</v>
      </c>
    </row>
    <row r="10" customFormat="false" ht="14.9" hidden="false" customHeight="false" outlineLevel="0" collapsed="false">
      <c r="A10" s="9" t="s">
        <v>231</v>
      </c>
      <c r="B10" s="13" t="n">
        <f aca="false">B3*前提条件!$B$13*((前提条件!$B$10+前提条件!$B$12*前提条件!$B$11)*2)*前提条件!$B$9*B5</f>
        <v>827120</v>
      </c>
      <c r="C10" s="13" t="n">
        <f aca="false">C3*前提条件!$B$13*((前提条件!$B$10+前提条件!$B$12*前提条件!$B$11)*2)*前提条件!$B$9*C5</f>
        <v>1447460</v>
      </c>
      <c r="D10" s="13" t="n">
        <f aca="false">D3*前提条件!$B$13*((前提条件!$B$10+前提条件!$B$12*前提条件!$B$11)*2)*前提条件!$B$9*D5</f>
        <v>2171190</v>
      </c>
      <c r="E10" s="13" t="n">
        <f aca="false">E3*前提条件!$B$13*((前提条件!$B$10+前提条件!$B$12*前提条件!$B$11)*2)*前提条件!$B$9*E5</f>
        <v>2998310</v>
      </c>
      <c r="F10" s="13" t="n">
        <f aca="false">F3*前提条件!$B$13*((前提条件!$B$10+前提条件!$B$12*前提条件!$B$11)*2)*前提条件!$B$9*F5</f>
        <v>3825430</v>
      </c>
    </row>
    <row r="11" customFormat="false" ht="14.9" hidden="false" customHeight="false" outlineLevel="0" collapsed="false">
      <c r="A11" s="9" t="s">
        <v>232</v>
      </c>
      <c r="B11" s="13" t="n">
        <f aca="false">B9*前提条件!$B$14</f>
        <v>854296.8</v>
      </c>
      <c r="C11" s="13" t="n">
        <f aca="false">C9*前提条件!$B$14</f>
        <v>1495019.4</v>
      </c>
      <c r="D11" s="13" t="n">
        <f aca="false">D9*前提条件!$B$14</f>
        <v>2242529.1</v>
      </c>
      <c r="E11" s="13" t="n">
        <f aca="false">E9*前提条件!$B$14</f>
        <v>3096825.9</v>
      </c>
      <c r="F11" s="13" t="n">
        <f aca="false">F9*前提条件!$B$14</f>
        <v>3951122.7</v>
      </c>
    </row>
    <row r="12" customFormat="false" ht="15" hidden="false" customHeight="false" outlineLevel="0" collapsed="false">
      <c r="A12" s="9" t="s">
        <v>233</v>
      </c>
      <c r="B12" s="13" t="n">
        <f aca="false">B3*前提条件!$B$16*前提条件!$B$17*(前提条件!$B$21/5)*前提条件!$B$18*前提条件!$B$9</f>
        <v>84400</v>
      </c>
      <c r="C12" s="13" t="n">
        <f aca="false">C3*前提条件!$B$16*前提条件!$B$17*(前提条件!$B$21/5)*前提条件!$B$18*前提条件!$B$9</f>
        <v>147700</v>
      </c>
      <c r="D12" s="13" t="n">
        <f aca="false">D3*前提条件!$B$16*前提条件!$B$17*(前提条件!$B$21/5)*前提条件!$B$18*前提条件!$B$9</f>
        <v>221550</v>
      </c>
      <c r="E12" s="13" t="n">
        <f aca="false">E3*前提条件!$B$16*前提条件!$B$17*(前提条件!$B$21/5)*前提条件!$B$18*前提条件!$B$9</f>
        <v>305950</v>
      </c>
      <c r="F12" s="13" t="n">
        <f aca="false">F3*前提条件!$B$16*前提条件!$B$17*(前提条件!$B$21/5)*前提条件!$B$18*前提条件!$B$9</f>
        <v>390350</v>
      </c>
    </row>
    <row r="13" customFormat="false" ht="14.9" hidden="false" customHeight="false" outlineLevel="0" collapsed="false">
      <c r="A13" s="9" t="s">
        <v>234</v>
      </c>
      <c r="B13" s="13" t="n">
        <f aca="false">B3*前提条件!$B$19*前提条件!$B$20*前提条件!$B$9*B5</f>
        <v>94950</v>
      </c>
      <c r="C13" s="13" t="n">
        <f aca="false">C3*前提条件!$B$19*前提条件!$B$20*前提条件!$B$9*C5</f>
        <v>166162.5</v>
      </c>
      <c r="D13" s="13" t="n">
        <f aca="false">D3*前提条件!$B$19*前提条件!$B$20*前提条件!$B$9*D5</f>
        <v>249243.75</v>
      </c>
      <c r="E13" s="13" t="n">
        <f aca="false">E3*前提条件!$B$19*前提条件!$B$20*前提条件!$B$9*E5</f>
        <v>344193.75</v>
      </c>
      <c r="F13" s="13" t="n">
        <f aca="false">F3*前提条件!$B$19*前提条件!$B$20*前提条件!$B$9*F5</f>
        <v>439143.75</v>
      </c>
    </row>
    <row r="14" customFormat="false" ht="14.9" hidden="false" customHeight="false" outlineLevel="0" collapsed="false">
      <c r="A14" s="9" t="s">
        <v>235</v>
      </c>
      <c r="B14" s="13" t="n">
        <f aca="false">B3*前提条件!$B$15*前提条件!$B$9*B5</f>
        <v>221550</v>
      </c>
      <c r="C14" s="13" t="n">
        <f aca="false">C3*前提条件!$B$15*前提条件!$B$9*C5</f>
        <v>387712.5</v>
      </c>
      <c r="D14" s="13" t="n">
        <f aca="false">D3*前提条件!$B$15*前提条件!$B$9*D5</f>
        <v>581568.75</v>
      </c>
      <c r="E14" s="13" t="n">
        <f aca="false">E3*前提条件!$B$15*前提条件!$B$9*E5</f>
        <v>803118.75</v>
      </c>
      <c r="F14" s="13" t="n">
        <f aca="false">F3*前提条件!$B$15*前提条件!$B$9*F5</f>
        <v>1024668.75</v>
      </c>
    </row>
    <row r="15" customFormat="false" ht="14.9" hidden="false" customHeight="false" outlineLevel="0" collapsed="false">
      <c r="A15" s="9" t="s">
        <v>236</v>
      </c>
      <c r="B15" s="13" t="n">
        <f aca="false">B3*前提条件!$B$31*前提条件!$B$9*B5</f>
        <v>3386550</v>
      </c>
      <c r="C15" s="13" t="n">
        <f aca="false">C3*前提条件!$B$31*前提条件!$B$9*C5</f>
        <v>5926462.5</v>
      </c>
      <c r="D15" s="13" t="n">
        <f aca="false">D3*前提条件!$B$31*前提条件!$B$9*D5</f>
        <v>8889693.75</v>
      </c>
      <c r="E15" s="13" t="n">
        <f aca="false">E3*前提条件!$B$31*前提条件!$B$9*E5</f>
        <v>12276243.75</v>
      </c>
      <c r="F15" s="13" t="n">
        <f aca="false">F3*前提条件!$B$31*前提条件!$B$9*F5</f>
        <v>15662793.75</v>
      </c>
    </row>
    <row r="16" customFormat="false" ht="15" hidden="false" customHeight="false" outlineLevel="0" collapsed="false">
      <c r="A16" s="35" t="s">
        <v>237</v>
      </c>
      <c r="B16" s="16" t="n">
        <f aca="false">SUM(B9:B15)</f>
        <v>15639066.8</v>
      </c>
      <c r="C16" s="16" t="n">
        <f aca="false">SUM(C9:C15)</f>
        <v>27368366.9</v>
      </c>
      <c r="D16" s="16" t="n">
        <f aca="false">SUM(D9:D15)</f>
        <v>41052550.35</v>
      </c>
      <c r="E16" s="16" t="n">
        <f aca="false">SUM(E9:E15)</f>
        <v>56691617.15</v>
      </c>
      <c r="F16" s="16" t="n">
        <f aca="false">SUM(F9:F15)</f>
        <v>72330683.95</v>
      </c>
    </row>
    <row r="17" customFormat="false" ht="15" hidden="false" customHeight="false" outlineLevel="0" collapsed="false">
      <c r="A17" s="14"/>
      <c r="B17" s="14"/>
      <c r="C17" s="14"/>
      <c r="D17" s="14"/>
      <c r="E17" s="14"/>
      <c r="F17" s="14"/>
    </row>
    <row r="18" customFormat="false" ht="15" hidden="false" customHeight="false" outlineLevel="0" collapsed="false">
      <c r="A18" s="35" t="s">
        <v>238</v>
      </c>
      <c r="B18" s="14"/>
      <c r="C18" s="14"/>
      <c r="D18" s="14"/>
      <c r="E18" s="14"/>
      <c r="F18" s="14"/>
    </row>
    <row r="19" customFormat="false" ht="14.9" hidden="false" customHeight="false" outlineLevel="0" collapsed="false">
      <c r="A19" s="9" t="s">
        <v>239</v>
      </c>
      <c r="B19" s="13" t="n">
        <f aca="false">人件費!B$23</f>
        <v>19320000</v>
      </c>
      <c r="C19" s="13" t="n">
        <f aca="false">人件費!C$23</f>
        <v>29440000</v>
      </c>
      <c r="D19" s="13" t="n">
        <f aca="false">人件費!D$23</f>
        <v>39652000</v>
      </c>
      <c r="E19" s="13" t="n">
        <f aca="false">人件費!E$23</f>
        <v>52072000</v>
      </c>
      <c r="F19" s="13" t="n">
        <f aca="false">人件費!F$23</f>
        <v>60352000</v>
      </c>
    </row>
    <row r="20" customFormat="false" ht="14.9" hidden="false" customHeight="false" outlineLevel="0" collapsed="false">
      <c r="A20" s="9" t="s">
        <v>240</v>
      </c>
      <c r="B20" s="13" t="n">
        <f aca="false">B11</f>
        <v>854296.8</v>
      </c>
      <c r="C20" s="13" t="n">
        <f aca="false">C11</f>
        <v>1495019.4</v>
      </c>
      <c r="D20" s="13" t="n">
        <f aca="false">D11</f>
        <v>2242529.1</v>
      </c>
      <c r="E20" s="13" t="n">
        <f aca="false">E11</f>
        <v>3096825.9</v>
      </c>
      <c r="F20" s="13" t="n">
        <f aca="false">F11</f>
        <v>3951122.7</v>
      </c>
    </row>
    <row r="21" customFormat="false" ht="14.9" hidden="false" customHeight="false" outlineLevel="0" collapsed="false">
      <c r="A21" s="9" t="s">
        <v>241</v>
      </c>
      <c r="B21" s="10" t="n">
        <v>1200000</v>
      </c>
      <c r="C21" s="10" t="n">
        <v>1200000</v>
      </c>
      <c r="D21" s="10" t="n">
        <v>3600000</v>
      </c>
      <c r="E21" s="10" t="n">
        <v>3600000</v>
      </c>
      <c r="F21" s="10" t="n">
        <v>3600000</v>
      </c>
    </row>
    <row r="22" customFormat="false" ht="15" hidden="false" customHeight="false" outlineLevel="0" collapsed="false">
      <c r="A22" s="9" t="s">
        <v>242</v>
      </c>
      <c r="B22" s="13" t="n">
        <f aca="false">前提条件!$B$22*12</f>
        <v>4800000</v>
      </c>
      <c r="C22" s="13" t="n">
        <f aca="false">前提条件!$B$22*12</f>
        <v>4800000</v>
      </c>
      <c r="D22" s="13" t="n">
        <f aca="false">前提条件!$B$22*12</f>
        <v>4800000</v>
      </c>
      <c r="E22" s="13" t="n">
        <f aca="false">前提条件!$B$22*12</f>
        <v>4800000</v>
      </c>
      <c r="F22" s="13" t="n">
        <f aca="false">前提条件!$B$22*12</f>
        <v>4800000</v>
      </c>
    </row>
    <row r="23" customFormat="false" ht="15" hidden="false" customHeight="false" outlineLevel="0" collapsed="false">
      <c r="A23" s="9" t="s">
        <v>243</v>
      </c>
      <c r="B23" s="13" t="n">
        <f aca="false">前提条件!$B$23</f>
        <v>900000</v>
      </c>
      <c r="C23" s="13" t="n">
        <f aca="false">前提条件!$B$23</f>
        <v>900000</v>
      </c>
      <c r="D23" s="13" t="n">
        <f aca="false">前提条件!$B$23</f>
        <v>900000</v>
      </c>
      <c r="E23" s="13" t="n">
        <f aca="false">前提条件!$B$23</f>
        <v>900000</v>
      </c>
      <c r="F23" s="13" t="n">
        <f aca="false">前提条件!$B$23</f>
        <v>900000</v>
      </c>
    </row>
    <row r="24" customFormat="false" ht="15" hidden="false" customHeight="false" outlineLevel="0" collapsed="false">
      <c r="A24" s="9" t="s">
        <v>244</v>
      </c>
      <c r="B24" s="13" t="n">
        <f aca="false">前提条件!$B$24</f>
        <v>4650000</v>
      </c>
      <c r="C24" s="13" t="n">
        <f aca="false">前提条件!$B$24</f>
        <v>4650000</v>
      </c>
      <c r="D24" s="13" t="n">
        <f aca="false">前提条件!$B$24</f>
        <v>4650000</v>
      </c>
      <c r="E24" s="13" t="n">
        <f aca="false">前提条件!$B$24</f>
        <v>4650000</v>
      </c>
      <c r="F24" s="13" t="n">
        <f aca="false">前提条件!$B$24</f>
        <v>4650000</v>
      </c>
    </row>
    <row r="25" customFormat="false" ht="15" hidden="false" customHeight="false" outlineLevel="0" collapsed="false">
      <c r="A25" s="9" t="s">
        <v>245</v>
      </c>
      <c r="B25" s="13" t="n">
        <f aca="false">前提条件!$B$25/前提条件!$B$26</f>
        <v>2312500</v>
      </c>
      <c r="C25" s="13" t="n">
        <f aca="false">前提条件!$B$25/前提条件!$B$26</f>
        <v>2312500</v>
      </c>
      <c r="D25" s="13" t="n">
        <f aca="false">前提条件!$B$25/前提条件!$B$26</f>
        <v>2312500</v>
      </c>
      <c r="E25" s="13" t="n">
        <f aca="false">前提条件!$B$25/前提条件!$B$26</f>
        <v>2312500</v>
      </c>
      <c r="F25" s="13" t="n">
        <f aca="false">前提条件!$B$25/前提条件!$B$26</f>
        <v>2312500</v>
      </c>
    </row>
    <row r="26" customFormat="false" ht="15" hidden="false" customHeight="false" outlineLevel="0" collapsed="false">
      <c r="A26" s="35" t="s">
        <v>246</v>
      </c>
      <c r="B26" s="16" t="n">
        <f aca="false">SUM(B19:B25)</f>
        <v>34036796.8</v>
      </c>
      <c r="C26" s="16" t="n">
        <f aca="false">SUM(C19:C25)</f>
        <v>44797519.4</v>
      </c>
      <c r="D26" s="16" t="n">
        <f aca="false">SUM(D19:D25)</f>
        <v>58157029.1</v>
      </c>
      <c r="E26" s="16" t="n">
        <f aca="false">SUM(E19:E25)</f>
        <v>71431325.9</v>
      </c>
      <c r="F26" s="16" t="n">
        <f aca="false">SUM(F19:F25)</f>
        <v>80565622.7</v>
      </c>
    </row>
    <row r="27" customFormat="false" ht="15" hidden="false" customHeight="false" outlineLevel="0" collapsed="false">
      <c r="A27" s="14"/>
      <c r="B27" s="14"/>
      <c r="C27" s="14"/>
      <c r="D27" s="14"/>
      <c r="E27" s="14"/>
      <c r="F27" s="14"/>
    </row>
    <row r="28" customFormat="false" ht="15" hidden="false" customHeight="false" outlineLevel="0" collapsed="false">
      <c r="A28" s="35" t="s">
        <v>247</v>
      </c>
      <c r="B28" s="16" t="n">
        <f aca="false">B16-B26</f>
        <v>-18397730</v>
      </c>
      <c r="C28" s="16" t="n">
        <f aca="false">C16-C26</f>
        <v>-17429152.5</v>
      </c>
      <c r="D28" s="16" t="n">
        <f aca="false">D16-D26</f>
        <v>-17104478.75</v>
      </c>
      <c r="E28" s="16" t="n">
        <f aca="false">E16-E26</f>
        <v>-14739708.75</v>
      </c>
      <c r="F28" s="16" t="n">
        <f aca="false">F16-F26</f>
        <v>-8234938.75</v>
      </c>
    </row>
    <row r="29" customFormat="false" ht="15" hidden="false" customHeight="false" outlineLevel="0" collapsed="false">
      <c r="A29" s="9" t="s">
        <v>248</v>
      </c>
      <c r="B29" s="41" t="n">
        <f aca="false">IFERROR(B28/B16,0)</f>
        <v>-1.17639564017976</v>
      </c>
      <c r="C29" s="41" t="n">
        <f aca="false">IFERROR(C28/C16,0)</f>
        <v>-0.636835678346595</v>
      </c>
      <c r="D29" s="41" t="n">
        <f aca="false">IFERROR(D28/D16,0)</f>
        <v>-0.416648383697799</v>
      </c>
      <c r="E29" s="41" t="n">
        <f aca="false">IFERROR(E28/E16,0)</f>
        <v>-0.259998029532308</v>
      </c>
      <c r="F29" s="41" t="n">
        <f aca="false">IFERROR(F28/F16,0)</f>
        <v>-0.11385124957055</v>
      </c>
    </row>
    <row r="30" customFormat="false" ht="15" hidden="false" customHeight="false" outlineLevel="0" collapsed="false">
      <c r="A30" s="14"/>
      <c r="B30" s="14"/>
      <c r="C30" s="14"/>
      <c r="D30" s="14"/>
      <c r="E30" s="14"/>
      <c r="F30" s="14"/>
    </row>
    <row r="31" customFormat="false" ht="15" hidden="false" customHeight="false" outlineLevel="0" collapsed="false">
      <c r="A31" s="35" t="s">
        <v>249</v>
      </c>
      <c r="B31" s="14"/>
      <c r="C31" s="14"/>
      <c r="D31" s="14"/>
      <c r="E31" s="14"/>
      <c r="F31" s="14"/>
    </row>
    <row r="32" customFormat="false" ht="14.9" hidden="false" customHeight="false" outlineLevel="0" collapsed="false">
      <c r="A32" s="9" t="s">
        <v>250</v>
      </c>
      <c r="B32" s="13" t="n">
        <f aca="false">B28+B25</f>
        <v>-16085230</v>
      </c>
      <c r="C32" s="13" t="n">
        <f aca="false">C28+C25</f>
        <v>-15116652.5</v>
      </c>
      <c r="D32" s="13" t="n">
        <f aca="false">D28+D25</f>
        <v>-14791978.75</v>
      </c>
      <c r="E32" s="13" t="n">
        <f aca="false">E28+E25</f>
        <v>-12427208.75</v>
      </c>
      <c r="F32" s="13" t="n">
        <f aca="false">F28+F25</f>
        <v>-5922438.75</v>
      </c>
    </row>
    <row r="33" customFormat="false" ht="14.9" hidden="false" customHeight="false" outlineLevel="0" collapsed="false">
      <c r="A33" s="9" t="s">
        <v>251</v>
      </c>
      <c r="B33" s="25" t="n">
        <v>0</v>
      </c>
      <c r="C33" s="25" t="n">
        <v>3500000</v>
      </c>
      <c r="D33" s="25" t="n">
        <v>4000000</v>
      </c>
      <c r="E33" s="25" t="n">
        <v>4000000</v>
      </c>
      <c r="F33" s="25" t="n">
        <v>4000000</v>
      </c>
    </row>
    <row r="34" customFormat="false" ht="15" hidden="false" customHeight="false" outlineLevel="0" collapsed="false">
      <c r="A34" s="9" t="s">
        <v>252</v>
      </c>
      <c r="B34" s="13" t="n">
        <f aca="false">B32-B33</f>
        <v>-16085230</v>
      </c>
      <c r="C34" s="13" t="n">
        <f aca="false">C32-C33</f>
        <v>-18616652.5</v>
      </c>
      <c r="D34" s="13" t="n">
        <f aca="false">D32-D33</f>
        <v>-18791978.75</v>
      </c>
      <c r="E34" s="13" t="n">
        <f aca="false">E32-E33</f>
        <v>-16427208.75</v>
      </c>
      <c r="F34" s="13" t="n">
        <f aca="false">F32-F33</f>
        <v>-9922438.75</v>
      </c>
    </row>
    <row r="35" customFormat="false" ht="14.9" hidden="false" customHeight="false" outlineLevel="0" collapsed="false">
      <c r="A35" s="35" t="s">
        <v>253</v>
      </c>
      <c r="B35" s="16" t="n">
        <f aca="false">B34</f>
        <v>-16085230</v>
      </c>
      <c r="C35" s="16" t="n">
        <f aca="false">B35+C34</f>
        <v>-34701882.5</v>
      </c>
      <c r="D35" s="16" t="n">
        <f aca="false">C35+D34</f>
        <v>-53493861.25</v>
      </c>
      <c r="E35" s="16" t="n">
        <f aca="false">D35+E34</f>
        <v>-69921070</v>
      </c>
      <c r="F35" s="16" t="n">
        <f aca="false">E35+F34</f>
        <v>-79843508.75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6"/>
  </cols>
  <sheetData>
    <row r="1" customFormat="false" ht="17.35" hidden="false" customHeight="false" outlineLevel="0" collapsed="false">
      <c r="A1" s="8" t="s">
        <v>254</v>
      </c>
      <c r="B1" s="8"/>
      <c r="C1" s="8"/>
      <c r="D1" s="8"/>
      <c r="E1" s="8"/>
    </row>
    <row r="2" customFormat="false" ht="75" hidden="false" customHeight="true" outlineLevel="0" collapsed="false">
      <c r="A2" s="7" t="s">
        <v>255</v>
      </c>
      <c r="B2" s="7"/>
      <c r="C2" s="7"/>
      <c r="D2" s="7"/>
      <c r="E2" s="7"/>
    </row>
    <row r="4" customFormat="false" ht="15" hidden="false" customHeight="false" outlineLevel="0" collapsed="false">
      <c r="A4" s="2" t="s">
        <v>256</v>
      </c>
    </row>
    <row r="5" customFormat="false" ht="15" hidden="false" customHeight="false" outlineLevel="0" collapsed="false">
      <c r="A5" s="9" t="s">
        <v>257</v>
      </c>
      <c r="B5" s="34" t="n">
        <f aca="false">収支計画5年!$F$3</f>
        <v>18.5</v>
      </c>
      <c r="C5" s="12" t="s">
        <v>258</v>
      </c>
    </row>
    <row r="6" customFormat="false" ht="15" hidden="false" customHeight="false" outlineLevel="0" collapsed="false">
      <c r="A6" s="9" t="s">
        <v>88</v>
      </c>
      <c r="B6" s="9" t="n">
        <f aca="false">前提条件!$B$21</f>
        <v>250</v>
      </c>
      <c r="C6" s="12" t="s">
        <v>259</v>
      </c>
    </row>
    <row r="7" customFormat="false" ht="15" hidden="false" customHeight="false" outlineLevel="0" collapsed="false">
      <c r="A7" s="9" t="s">
        <v>64</v>
      </c>
      <c r="B7" s="45" t="n">
        <f aca="false">前提条件!$B$9</f>
        <v>10.55</v>
      </c>
      <c r="C7" s="12" t="s">
        <v>260</v>
      </c>
    </row>
    <row r="8" customFormat="false" ht="15" hidden="false" customHeight="false" outlineLevel="0" collapsed="false">
      <c r="A8" s="9" t="s">
        <v>261</v>
      </c>
      <c r="B8" s="9" t="n">
        <f aca="false">人件費!$G$9*1.15</f>
        <v>4140000</v>
      </c>
      <c r="C8" s="12" t="s">
        <v>262</v>
      </c>
    </row>
    <row r="10" customFormat="false" ht="15" hidden="false" customHeight="false" outlineLevel="0" collapsed="false">
      <c r="A10" s="2" t="s">
        <v>263</v>
      </c>
    </row>
    <row r="11" customFormat="false" ht="27.6" hidden="false" customHeight="false" outlineLevel="0" collapsed="false">
      <c r="A11" s="5" t="s">
        <v>264</v>
      </c>
      <c r="B11" s="5" t="s">
        <v>265</v>
      </c>
      <c r="C11" s="5" t="s">
        <v>266</v>
      </c>
      <c r="D11" s="5" t="s">
        <v>267</v>
      </c>
      <c r="E11" s="5" t="s">
        <v>268</v>
      </c>
      <c r="F11" s="5" t="s">
        <v>269</v>
      </c>
    </row>
    <row r="12" customFormat="false" ht="15" hidden="false" customHeight="false" outlineLevel="0" collapsed="false">
      <c r="A12" s="11" t="s">
        <v>270</v>
      </c>
      <c r="B12" s="19" t="n">
        <v>180</v>
      </c>
      <c r="C12" s="19" t="n">
        <v>3</v>
      </c>
      <c r="D12" s="10" t="n">
        <v>0</v>
      </c>
      <c r="E12" s="13" t="n">
        <f aca="false">C12*B12*$B$7*$B$6</f>
        <v>1424250</v>
      </c>
      <c r="F12" s="16" t="n">
        <f aca="false">E12-D12</f>
        <v>1424250</v>
      </c>
    </row>
    <row r="14" customFormat="false" ht="60" hidden="false" customHeight="true" outlineLevel="0" collapsed="false">
      <c r="A14" s="7" t="s">
        <v>271</v>
      </c>
      <c r="B14" s="7"/>
      <c r="C14" s="7"/>
      <c r="D14" s="7"/>
      <c r="E14" s="7"/>
      <c r="F14" s="7"/>
    </row>
  </sheetData>
  <mergeCells count="3">
    <mergeCell ref="A1:E1"/>
    <mergeCell ref="A2:E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8"/>
  </cols>
  <sheetData>
    <row r="1" customFormat="false" ht="19.4" hidden="false" customHeight="false" outlineLevel="0" collapsed="false">
      <c r="A1" s="8" t="s">
        <v>272</v>
      </c>
      <c r="B1" s="8"/>
      <c r="C1" s="8"/>
      <c r="D1" s="8"/>
      <c r="E1" s="8"/>
      <c r="F1" s="8"/>
    </row>
    <row r="2" customFormat="false" ht="60" hidden="false" customHeight="true" outlineLevel="0" collapsed="false">
      <c r="A2" s="7" t="s">
        <v>273</v>
      </c>
      <c r="B2" s="7"/>
      <c r="C2" s="7"/>
      <c r="D2" s="7"/>
      <c r="E2" s="7"/>
      <c r="F2" s="7"/>
    </row>
    <row r="4" customFormat="false" ht="30" hidden="false" customHeight="true" outlineLevel="0" collapsed="false">
      <c r="A4" s="46" t="s">
        <v>274</v>
      </c>
      <c r="B4" s="46"/>
      <c r="C4" s="46"/>
      <c r="D4" s="46"/>
      <c r="E4" s="46"/>
      <c r="F4" s="46"/>
    </row>
    <row r="5" customFormat="false" ht="82.05" hidden="false" customHeight="false" outlineLevel="0" collapsed="false">
      <c r="A5" s="9" t="s">
        <v>275</v>
      </c>
      <c r="B5" s="19" t="n">
        <v>3</v>
      </c>
      <c r="C5" s="12" t="s">
        <v>276</v>
      </c>
    </row>
    <row r="6" customFormat="false" ht="15" hidden="false" customHeight="false" outlineLevel="0" collapsed="false">
      <c r="A6" s="5" t="s">
        <v>14</v>
      </c>
      <c r="B6" s="31" t="s">
        <v>106</v>
      </c>
      <c r="C6" s="31" t="s">
        <v>107</v>
      </c>
      <c r="D6" s="31" t="s">
        <v>108</v>
      </c>
      <c r="E6" s="31" t="s">
        <v>109</v>
      </c>
      <c r="F6" s="31" t="s">
        <v>110</v>
      </c>
    </row>
    <row r="7" customFormat="false" ht="15" hidden="false" customHeight="false" outlineLevel="0" collapsed="false">
      <c r="A7" s="9" t="s">
        <v>277</v>
      </c>
      <c r="B7" s="34" t="n">
        <f aca="false">ROUNDUP(前提条件!B$34/$B$5-人件費!B$6-人件費!B$7,0)</f>
        <v>1</v>
      </c>
      <c r="C7" s="34" t="n">
        <f aca="false">ROUNDUP(前提条件!C$34/$B$5-人件費!C$6-人件費!C$7,0)</f>
        <v>2</v>
      </c>
      <c r="D7" s="34" t="n">
        <f aca="false">ROUNDUP(前提条件!D$34/$B$5-人件費!D$6-人件費!D$7,0)</f>
        <v>3</v>
      </c>
      <c r="E7" s="34" t="n">
        <f aca="false">ROUNDUP(前提条件!E$34/$B$5-人件費!E$6-人件費!E$7,0)</f>
        <v>4</v>
      </c>
      <c r="F7" s="34" t="n">
        <f aca="false">ROUNDUP(前提条件!F$34/$B$5-人件費!F$6-人件費!F$7,0)</f>
        <v>5</v>
      </c>
    </row>
    <row r="8" customFormat="false" ht="14.9" hidden="false" customHeight="false" outlineLevel="0" collapsed="false">
      <c r="A8" s="9" t="s">
        <v>278</v>
      </c>
      <c r="B8" s="13" t="n">
        <f aca="false">(人件費!B$5*人件費!$G$5+人件費!B$6*人件費!$G$6+人件費!B$7*人件費!$G$7+人件費!B$8*人件費!$G$8+B7*人件費!$G$9+人件費!B$10*人件費!$G$10)*1.15</f>
        <v>15180000</v>
      </c>
      <c r="C8" s="13" t="n">
        <f aca="false">(人件費!C$5*人件費!$G$5+人件費!C$6*人件費!$G$6+人件費!C$7*人件費!$G$7+人件費!C$8*人件費!$G$8+C7*人件費!$G$9+人件費!C$10*人件費!$G$10)*1.15</f>
        <v>21160000</v>
      </c>
      <c r="D8" s="13" t="n">
        <f aca="false">(人件費!D$5*人件費!$G$5+人件費!D$6*人件費!$G$6+人件費!D$7*人件費!$G$7+人件費!D$8*人件費!$G$8+D7*人件費!$G$9+人件費!D$10*人件費!$G$10)*1.15</f>
        <v>27232000</v>
      </c>
      <c r="E8" s="13" t="n">
        <f aca="false">(人件費!E$5*人件費!$G$5+人件費!E$6*人件費!$G$6+人件費!E$7*人件費!$G$7+人件費!E$8*人件費!$G$8+E7*人件費!$G$9+人件費!E$10*人件費!$G$10)*1.15</f>
        <v>31372000</v>
      </c>
      <c r="F8" s="13" t="n">
        <f aca="false">(人件費!F$5*人件費!$G$5+人件費!F$6*人件費!$G$6+人件費!F$7*人件費!$G$7+人件費!F$8*人件費!$G$8+F7*人件費!$G$9+人件費!F$10*人件費!$G$10)*1.15</f>
        <v>35512000</v>
      </c>
    </row>
    <row r="10" customFormat="false" ht="15" hidden="false" customHeight="false" outlineLevel="0" collapsed="false">
      <c r="A10" s="5" t="s">
        <v>279</v>
      </c>
      <c r="B10" s="31" t="s">
        <v>106</v>
      </c>
      <c r="C10" s="31" t="s">
        <v>107</v>
      </c>
      <c r="D10" s="31" t="s">
        <v>108</v>
      </c>
      <c r="E10" s="31" t="s">
        <v>109</v>
      </c>
      <c r="F10" s="31" t="s">
        <v>110</v>
      </c>
    </row>
    <row r="11" customFormat="false" ht="14.9" hidden="false" customHeight="false" outlineLevel="0" collapsed="false">
      <c r="A11" s="47" t="s">
        <v>280</v>
      </c>
      <c r="B11" s="16" t="n">
        <f aca="false">収支計画5年!B$28</f>
        <v>-18397730</v>
      </c>
      <c r="C11" s="16" t="n">
        <f aca="false">収支計画5年!C$28</f>
        <v>-17429152.5</v>
      </c>
      <c r="D11" s="16" t="n">
        <f aca="false">収支計画5年!D$28</f>
        <v>-17104478.75</v>
      </c>
      <c r="E11" s="16" t="n">
        <f aca="false">収支計画5年!E$28</f>
        <v>-14739708.75</v>
      </c>
      <c r="F11" s="16" t="n">
        <f aca="false">収支計画5年!F$28</f>
        <v>-8234938.75</v>
      </c>
    </row>
    <row r="12" customFormat="false" ht="14.9" hidden="false" customHeight="false" outlineLevel="0" collapsed="false">
      <c r="A12" s="11" t="s">
        <v>281</v>
      </c>
      <c r="B12" s="13" t="n">
        <f aca="false">(収支計画5年!B$16-収支計画5年!B$15)-(B8+収支計画5年!B$20+収支計画5年!B$21+収支計画5年!B$22+収支計画5年!B$23+収支計画5年!B$24+収支計画5年!B$25)</f>
        <v>-17644280</v>
      </c>
      <c r="C12" s="13" t="n">
        <f aca="false">(収支計画5年!C$16-収支計画5年!C$15)-(C8+収支計画5年!C$20+収支計画5年!C$21+収支計画5年!C$22+収支計画5年!C$23+収支計画5年!C$24+収支計画5年!C$25)</f>
        <v>-15075615</v>
      </c>
      <c r="D12" s="13" t="n">
        <f aca="false">(収支計画5年!D$16-収支計画5年!D$15)-(D8+収支計画5年!D$20+収支計画5年!D$21+収支計画5年!D$22+収支計画5年!D$23+収支計画5年!D$24+収支計画5年!D$25)</f>
        <v>-13574172.5</v>
      </c>
      <c r="E12" s="13" t="n">
        <f aca="false">(収支計画5年!E$16-収支計画5年!E$15)-(E8+収支計画5年!E$20+収支計画5年!E$21+収支計画5年!E$22+収支計画5年!E$23+収支計画5年!E$24+収支計画5年!E$25)</f>
        <v>-6315952.49999999</v>
      </c>
      <c r="F12" s="13" t="n">
        <f aca="false">(収支計画5年!F$16-収支計画5年!F$15)-(F8+収支計画5年!F$20+収支計画5年!F$21+収支計画5年!F$22+収支計画5年!F$23+収支計画5年!F$24+収支計画5年!F$25)</f>
        <v>942267.5</v>
      </c>
    </row>
    <row r="14" customFormat="false" ht="30" hidden="false" customHeight="true" outlineLevel="0" collapsed="false">
      <c r="A14" s="7" t="s">
        <v>282</v>
      </c>
      <c r="B14" s="7"/>
      <c r="C14" s="7"/>
      <c r="D14" s="7"/>
      <c r="E14" s="7"/>
      <c r="F14" s="7"/>
    </row>
    <row r="16" customFormat="false" ht="14.9" hidden="false" customHeight="false" outlineLevel="0" collapsed="false">
      <c r="A16" s="4" t="s">
        <v>283</v>
      </c>
      <c r="B16" s="4"/>
      <c r="C16" s="4"/>
      <c r="D16" s="4"/>
      <c r="E16" s="4"/>
      <c r="F16" s="4"/>
    </row>
    <row r="17" customFormat="false" ht="14.9" hidden="false" customHeight="false" outlineLevel="0" collapsed="false">
      <c r="A17" s="9" t="s">
        <v>284</v>
      </c>
      <c r="B17" s="13" t="n">
        <f aca="false">B12+収支計画5年!B$25</f>
        <v>-15331780</v>
      </c>
      <c r="C17" s="13" t="n">
        <f aca="false">C12+収支計画5年!C$25</f>
        <v>-12763115</v>
      </c>
      <c r="D17" s="13" t="n">
        <f aca="false">D12+収支計画5年!D$25</f>
        <v>-11261672.5</v>
      </c>
      <c r="E17" s="13" t="n">
        <f aca="false">E12+収支計画5年!E$25</f>
        <v>-4003452.49999999</v>
      </c>
      <c r="F17" s="13" t="n">
        <f aca="false">F12+収支計画5年!F$25</f>
        <v>3254767.5</v>
      </c>
    </row>
    <row r="18" customFormat="false" ht="14.9" hidden="false" customHeight="false" outlineLevel="0" collapsed="false">
      <c r="A18" s="9" t="s">
        <v>285</v>
      </c>
      <c r="B18" s="13" t="n">
        <f aca="false">B17-収支計画5年!B$33</f>
        <v>-15331780</v>
      </c>
      <c r="C18" s="13" t="n">
        <f aca="false">C17-収支計画5年!C$33</f>
        <v>-16263115</v>
      </c>
      <c r="D18" s="13" t="n">
        <f aca="false">D17-収支計画5年!D$33</f>
        <v>-15261672.5</v>
      </c>
      <c r="E18" s="13" t="n">
        <f aca="false">E17-収支計画5年!E$33</f>
        <v>-8003452.49999999</v>
      </c>
      <c r="F18" s="13" t="n">
        <f aca="false">F17-収支計画5年!F$33</f>
        <v>-745232.5</v>
      </c>
    </row>
    <row r="19" customFormat="false" ht="15" hidden="false" customHeight="false" outlineLevel="0" collapsed="false">
      <c r="A19" s="35" t="s">
        <v>286</v>
      </c>
      <c r="B19" s="16" t="n">
        <f aca="false">B18</f>
        <v>-15331780</v>
      </c>
      <c r="C19" s="16" t="n">
        <f aca="false">B19+C18</f>
        <v>-31594895</v>
      </c>
      <c r="D19" s="16" t="n">
        <f aca="false">C19+D18</f>
        <v>-46856567.5</v>
      </c>
      <c r="E19" s="16" t="n">
        <f aca="false">D19+E18</f>
        <v>-54860020</v>
      </c>
      <c r="F19" s="16" t="n">
        <f aca="false">E19+F18</f>
        <v>-55605252.5</v>
      </c>
    </row>
    <row r="21" customFormat="false" ht="14.9" hidden="false" customHeight="false" outlineLevel="0" collapsed="false">
      <c r="A21" s="4" t="s">
        <v>287</v>
      </c>
      <c r="B21" s="4"/>
      <c r="C21" s="4"/>
      <c r="D21" s="4"/>
      <c r="E21" s="4"/>
      <c r="F21" s="4"/>
    </row>
    <row r="22" customFormat="false" ht="15" hidden="false" customHeight="false" outlineLevel="0" collapsed="false">
      <c r="A22" s="5" t="s">
        <v>14</v>
      </c>
      <c r="B22" s="31" t="s">
        <v>288</v>
      </c>
      <c r="C22" s="31" t="s">
        <v>289</v>
      </c>
    </row>
    <row r="23" customFormat="false" ht="15" hidden="false" customHeight="false" outlineLevel="0" collapsed="false">
      <c r="A23" s="9" t="s">
        <v>176</v>
      </c>
      <c r="B23" s="13" t="n">
        <f aca="false">資金調達計画!$B$20</f>
        <v>108493508.75</v>
      </c>
      <c r="C23" s="13" t="n">
        <f aca="false">資金調達計画!$B$18-F19</f>
        <v>84255252.5</v>
      </c>
    </row>
    <row r="24" customFormat="false" ht="15" hidden="false" customHeight="false" outlineLevel="0" collapsed="false">
      <c r="A24" s="35" t="s">
        <v>177</v>
      </c>
      <c r="B24" s="16" t="n">
        <f aca="false">資金調達計画!$B$21</f>
        <v>-68493508.75</v>
      </c>
      <c r="C24" s="16" t="n">
        <f aca="false">資金調達計画!$B$13-C23</f>
        <v>-44255252.5</v>
      </c>
    </row>
    <row r="26" customFormat="false" ht="60" hidden="false" customHeight="true" outlineLevel="0" collapsed="false">
      <c r="A26" s="7" t="s">
        <v>290</v>
      </c>
      <c r="B26" s="7"/>
      <c r="C26" s="7"/>
      <c r="D26" s="7"/>
      <c r="E26" s="7"/>
      <c r="F26" s="7"/>
    </row>
  </sheetData>
  <mergeCells count="7">
    <mergeCell ref="A1:F1"/>
    <mergeCell ref="A2:F2"/>
    <mergeCell ref="A4:F4"/>
    <mergeCell ref="A14:F14"/>
    <mergeCell ref="A16:F16"/>
    <mergeCell ref="A21:F2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3" min="3" style="0" width="34"/>
  </cols>
  <sheetData>
    <row r="1" customFormat="false" ht="19.4" hidden="false" customHeight="false" outlineLevel="0" collapsed="false">
      <c r="A1" s="8" t="s">
        <v>291</v>
      </c>
      <c r="B1" s="8"/>
      <c r="C1" s="8"/>
    </row>
    <row r="2" customFormat="false" ht="60" hidden="false" customHeight="true" outlineLevel="0" collapsed="false">
      <c r="A2" s="7" t="s">
        <v>292</v>
      </c>
      <c r="B2" s="7"/>
      <c r="C2" s="7"/>
    </row>
    <row r="4" customFormat="false" ht="15" hidden="false" customHeight="false" outlineLevel="0" collapsed="false">
      <c r="A4" s="2" t="s">
        <v>293</v>
      </c>
    </row>
    <row r="5" customFormat="false" ht="15" hidden="false" customHeight="false" outlineLevel="0" collapsed="false">
      <c r="A5" s="9" t="s">
        <v>294</v>
      </c>
      <c r="B5" s="34" t="n">
        <f aca="false">前提条件!$B$3</f>
        <v>20</v>
      </c>
      <c r="C5" s="9" t="s">
        <v>295</v>
      </c>
    </row>
    <row r="6" customFormat="false" ht="15" hidden="false" customHeight="false" outlineLevel="0" collapsed="false">
      <c r="A6" s="9" t="s">
        <v>296</v>
      </c>
      <c r="B6" s="34" t="n">
        <f aca="false">ROUNDUP(B5/前提条件!$B$30-1-0.4,0)</f>
        <v>12</v>
      </c>
      <c r="C6" s="9" t="s">
        <v>297</v>
      </c>
    </row>
    <row r="8" customFormat="false" ht="15" hidden="false" customHeight="false" outlineLevel="0" collapsed="false">
      <c r="A8" s="5" t="s">
        <v>14</v>
      </c>
      <c r="B8" s="5" t="s">
        <v>298</v>
      </c>
    </row>
    <row r="9" customFormat="false" ht="15" hidden="false" customHeight="false" outlineLevel="0" collapsed="false">
      <c r="A9" s="2" t="s">
        <v>229</v>
      </c>
    </row>
    <row r="10" customFormat="false" ht="15" hidden="false" customHeight="false" outlineLevel="0" collapsed="false">
      <c r="A10" s="9" t="s">
        <v>230</v>
      </c>
      <c r="B10" s="13" t="n">
        <f aca="false">B5*前提条件!$B$5*前提条件!$B$9*前提条件!$B$21</f>
        <v>50851000</v>
      </c>
    </row>
    <row r="11" customFormat="false" ht="15" hidden="false" customHeight="false" outlineLevel="0" collapsed="false">
      <c r="A11" s="9" t="s">
        <v>299</v>
      </c>
      <c r="B11" s="13" t="n">
        <f aca="false">B5*前提条件!$B$13*((前提条件!$B$10+前提条件!$B$12*前提条件!$B$11)*2)*前提条件!$B$9*前提条件!$B$21</f>
        <v>4135600</v>
      </c>
    </row>
    <row r="12" customFormat="false" ht="15" hidden="false" customHeight="false" outlineLevel="0" collapsed="false">
      <c r="A12" s="9" t="s">
        <v>300</v>
      </c>
      <c r="B12" s="13" t="n">
        <f aca="false">B10*前提条件!$B$14</f>
        <v>4271484</v>
      </c>
    </row>
    <row r="13" customFormat="false" ht="15" hidden="false" customHeight="false" outlineLevel="0" collapsed="false">
      <c r="A13" s="9" t="s">
        <v>301</v>
      </c>
      <c r="B13" s="13" t="n">
        <f aca="false">B5*前提条件!$B$16*前提条件!$B$17*(前提条件!$B$21/5)*前提条件!$B$18*前提条件!$B$9</f>
        <v>422000</v>
      </c>
    </row>
    <row r="14" customFormat="false" ht="15" hidden="false" customHeight="false" outlineLevel="0" collapsed="false">
      <c r="A14" s="9" t="s">
        <v>302</v>
      </c>
      <c r="B14" s="13" t="n">
        <f aca="false">B5*前提条件!$B$19*前提条件!$B$20*前提条件!$B$9*前提条件!$B$21</f>
        <v>474750</v>
      </c>
    </row>
    <row r="15" customFormat="false" ht="15" hidden="false" customHeight="false" outlineLevel="0" collapsed="false">
      <c r="A15" s="9" t="s">
        <v>303</v>
      </c>
      <c r="B15" s="13" t="n">
        <f aca="false">B5*前提条件!$B$15*前提条件!$B$9*前提条件!$B$21</f>
        <v>1107750</v>
      </c>
    </row>
    <row r="16" customFormat="false" ht="15" hidden="false" customHeight="false" outlineLevel="0" collapsed="false">
      <c r="A16" s="9" t="s">
        <v>304</v>
      </c>
      <c r="B16" s="13" t="n">
        <f aca="false">B5*前提条件!$B$31*前提条件!$B$9*前提条件!$B$21</f>
        <v>16932750</v>
      </c>
    </row>
    <row r="17" customFormat="false" ht="15" hidden="false" customHeight="false" outlineLevel="0" collapsed="false">
      <c r="A17" s="35" t="s">
        <v>237</v>
      </c>
      <c r="B17" s="16" t="n">
        <f aca="false">SUM(B10:B16)</f>
        <v>78195334</v>
      </c>
    </row>
    <row r="19" customFormat="false" ht="15" hidden="false" customHeight="false" outlineLevel="0" collapsed="false">
      <c r="A19" s="2" t="s">
        <v>238</v>
      </c>
    </row>
    <row r="20" customFormat="false" ht="15" hidden="false" customHeight="false" outlineLevel="0" collapsed="false">
      <c r="A20" s="9" t="s">
        <v>305</v>
      </c>
      <c r="B20" s="13" t="n">
        <f aca="false">(人件費!$B$5*人件費!$G$5+人件費!$B$6*人件費!$G$6+0.4*人件費!$G$7+人件費!$F$8*人件費!$G$8+B6*人件費!$G$9+人件費!$B$10*人件費!$G$10)*1.15</f>
        <v>64492000</v>
      </c>
    </row>
    <row r="21" customFormat="false" ht="15" hidden="false" customHeight="false" outlineLevel="0" collapsed="false">
      <c r="A21" s="9" t="s">
        <v>306</v>
      </c>
      <c r="B21" s="13" t="n">
        <f aca="false">B12</f>
        <v>4271484</v>
      </c>
    </row>
    <row r="22" customFormat="false" ht="15" hidden="false" customHeight="false" outlineLevel="0" collapsed="false">
      <c r="A22" s="9" t="s">
        <v>307</v>
      </c>
      <c r="B22" s="13" t="n">
        <v>3600000</v>
      </c>
    </row>
    <row r="23" customFormat="false" ht="15" hidden="false" customHeight="false" outlineLevel="0" collapsed="false">
      <c r="A23" s="9" t="s">
        <v>242</v>
      </c>
      <c r="B23" s="13" t="n">
        <f aca="false">前提条件!$B$22*12</f>
        <v>4800000</v>
      </c>
    </row>
    <row r="24" customFormat="false" ht="15" hidden="false" customHeight="false" outlineLevel="0" collapsed="false">
      <c r="A24" s="9" t="s">
        <v>243</v>
      </c>
      <c r="B24" s="13" t="n">
        <f aca="false">前提条件!$B$23</f>
        <v>900000</v>
      </c>
    </row>
    <row r="25" customFormat="false" ht="15" hidden="false" customHeight="false" outlineLevel="0" collapsed="false">
      <c r="A25" s="9" t="s">
        <v>244</v>
      </c>
      <c r="B25" s="13" t="n">
        <f aca="false">前提条件!$B$24</f>
        <v>4650000</v>
      </c>
    </row>
    <row r="26" customFormat="false" ht="15" hidden="false" customHeight="false" outlineLevel="0" collapsed="false">
      <c r="A26" s="9" t="s">
        <v>245</v>
      </c>
      <c r="B26" s="13" t="n">
        <f aca="false">前提条件!$B$25/前提条件!$B$26</f>
        <v>2312500</v>
      </c>
    </row>
    <row r="27" customFormat="false" ht="15" hidden="false" customHeight="false" outlineLevel="0" collapsed="false">
      <c r="A27" s="35" t="s">
        <v>246</v>
      </c>
      <c r="B27" s="16" t="n">
        <f aca="false">SUM(B19:B26)</f>
        <v>85025984</v>
      </c>
    </row>
    <row r="29" customFormat="false" ht="15" hidden="false" customHeight="false" outlineLevel="0" collapsed="false">
      <c r="A29" s="35" t="s">
        <v>247</v>
      </c>
      <c r="B29" s="16" t="n">
        <f aca="false">B17-B27</f>
        <v>-6830650</v>
      </c>
    </row>
    <row r="30" customFormat="false" ht="15" hidden="false" customHeight="false" outlineLevel="0" collapsed="false">
      <c r="A30" s="9" t="s">
        <v>248</v>
      </c>
      <c r="B30" s="41" t="n">
        <f aca="false">IFERROR(B29/B17,0)</f>
        <v>-0.0873536776503826</v>
      </c>
    </row>
    <row r="32" customFormat="false" ht="75" hidden="false" customHeight="true" outlineLevel="0" collapsed="false">
      <c r="A32" s="7" t="s">
        <v>308</v>
      </c>
      <c r="B32" s="7"/>
      <c r="C32" s="7"/>
    </row>
  </sheetData>
  <mergeCells count="3">
    <mergeCell ref="A1:C1"/>
    <mergeCell ref="A2:C2"/>
    <mergeCell ref="A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5"/>
    <col collapsed="false" customWidth="true" hidden="false" outlineLevel="0" max="7" min="7" style="0" width="26"/>
  </cols>
  <sheetData>
    <row r="1" customFormat="false" ht="19.4" hidden="false" customHeight="false" outlineLevel="0" collapsed="false">
      <c r="A1" s="8" t="s">
        <v>309</v>
      </c>
      <c r="B1" s="8"/>
      <c r="C1" s="8"/>
      <c r="D1" s="8"/>
      <c r="E1" s="8"/>
      <c r="F1" s="8"/>
      <c r="G1" s="8"/>
    </row>
    <row r="2" customFormat="false" ht="31.5" hidden="false" customHeight="true" outlineLevel="0" collapsed="false">
      <c r="A2" s="7" t="s">
        <v>310</v>
      </c>
      <c r="B2" s="7"/>
      <c r="C2" s="7"/>
      <c r="D2" s="7"/>
      <c r="E2" s="7"/>
      <c r="F2" s="7"/>
      <c r="G2" s="7"/>
    </row>
    <row r="4" customFormat="false" ht="15" hidden="false" customHeight="false" outlineLevel="0" collapsed="false">
      <c r="A4" s="15" t="s">
        <v>311</v>
      </c>
      <c r="B4" s="17"/>
      <c r="C4" s="17"/>
      <c r="D4" s="17"/>
      <c r="E4" s="17"/>
      <c r="F4" s="17"/>
      <c r="G4" s="17"/>
    </row>
    <row r="5" customFormat="false" ht="15" hidden="false" customHeight="false" outlineLevel="0" collapsed="false">
      <c r="A5" s="5" t="s">
        <v>14</v>
      </c>
      <c r="B5" s="31" t="s">
        <v>106</v>
      </c>
      <c r="C5" s="31" t="s">
        <v>107</v>
      </c>
      <c r="D5" s="31" t="s">
        <v>108</v>
      </c>
      <c r="E5" s="31" t="s">
        <v>109</v>
      </c>
      <c r="F5" s="31" t="s">
        <v>110</v>
      </c>
      <c r="G5" s="5" t="s">
        <v>312</v>
      </c>
    </row>
    <row r="6" customFormat="false" ht="15" hidden="false" customHeight="false" outlineLevel="0" collapsed="false">
      <c r="A6" s="9" t="s">
        <v>230</v>
      </c>
      <c r="B6" s="13" t="n">
        <f aca="false">収支計画5年!B$9</f>
        <v>10170200</v>
      </c>
      <c r="C6" s="13" t="n">
        <f aca="false">収支計画5年!C$9</f>
        <v>17797850</v>
      </c>
      <c r="D6" s="13" t="n">
        <f aca="false">収支計画5年!D$9</f>
        <v>26696775</v>
      </c>
      <c r="E6" s="13" t="n">
        <f aca="false">収支計画5年!E$9</f>
        <v>36866975</v>
      </c>
      <c r="F6" s="13" t="n">
        <f aca="false">収支計画5年!F$9</f>
        <v>47037175</v>
      </c>
      <c r="G6" s="14"/>
    </row>
    <row r="7" customFormat="false" ht="15" hidden="false" customHeight="false" outlineLevel="0" collapsed="false">
      <c r="A7" s="9" t="s">
        <v>299</v>
      </c>
      <c r="B7" s="13" t="n">
        <f aca="false">収支計画5年!B$10</f>
        <v>827120</v>
      </c>
      <c r="C7" s="13" t="n">
        <f aca="false">収支計画5年!C$10</f>
        <v>1447460</v>
      </c>
      <c r="D7" s="13" t="n">
        <f aca="false">収支計画5年!D$10</f>
        <v>2171190</v>
      </c>
      <c r="E7" s="13" t="n">
        <f aca="false">収支計画5年!E$10</f>
        <v>2998310</v>
      </c>
      <c r="F7" s="13" t="n">
        <f aca="false">収支計画5年!F$10</f>
        <v>3825430</v>
      </c>
      <c r="G7" s="14"/>
    </row>
    <row r="8" customFormat="false" ht="15" hidden="false" customHeight="false" outlineLevel="0" collapsed="false">
      <c r="A8" s="9" t="s">
        <v>313</v>
      </c>
      <c r="B8" s="13" t="n">
        <f aca="false">収支計画5年!B$11</f>
        <v>854296.8</v>
      </c>
      <c r="C8" s="13" t="n">
        <f aca="false">収支計画5年!C$11</f>
        <v>1495019.4</v>
      </c>
      <c r="D8" s="13" t="n">
        <f aca="false">収支計画5年!D$11</f>
        <v>2242529.1</v>
      </c>
      <c r="E8" s="13" t="n">
        <f aca="false">収支計画5年!E$11</f>
        <v>3096825.9</v>
      </c>
      <c r="F8" s="13" t="n">
        <f aca="false">収支計画5年!F$11</f>
        <v>3951122.7</v>
      </c>
      <c r="G8" s="14"/>
    </row>
    <row r="9" customFormat="false" ht="15" hidden="false" customHeight="false" outlineLevel="0" collapsed="false">
      <c r="A9" s="9" t="s">
        <v>233</v>
      </c>
      <c r="B9" s="13" t="n">
        <f aca="false">収支計画5年!B$12</f>
        <v>84400</v>
      </c>
      <c r="C9" s="13" t="n">
        <f aca="false">収支計画5年!C$12</f>
        <v>147700</v>
      </c>
      <c r="D9" s="13" t="n">
        <f aca="false">収支計画5年!D$12</f>
        <v>221550</v>
      </c>
      <c r="E9" s="13" t="n">
        <f aca="false">収支計画5年!E$12</f>
        <v>305950</v>
      </c>
      <c r="F9" s="13" t="n">
        <f aca="false">収支計画5年!F$12</f>
        <v>390350</v>
      </c>
      <c r="G9" s="14"/>
    </row>
    <row r="10" customFormat="false" ht="15" hidden="false" customHeight="false" outlineLevel="0" collapsed="false">
      <c r="A10" s="9" t="s">
        <v>302</v>
      </c>
      <c r="B10" s="13" t="n">
        <f aca="false">収支計画5年!B$13</f>
        <v>94950</v>
      </c>
      <c r="C10" s="13" t="n">
        <f aca="false">収支計画5年!C$13</f>
        <v>166162.5</v>
      </c>
      <c r="D10" s="13" t="n">
        <f aca="false">収支計画5年!D$13</f>
        <v>249243.75</v>
      </c>
      <c r="E10" s="13" t="n">
        <f aca="false">収支計画5年!E$13</f>
        <v>344193.75</v>
      </c>
      <c r="F10" s="13" t="n">
        <f aca="false">収支計画5年!F$13</f>
        <v>439143.75</v>
      </c>
      <c r="G10" s="14"/>
    </row>
    <row r="11" customFormat="false" ht="15" hidden="false" customHeight="false" outlineLevel="0" collapsed="false">
      <c r="A11" s="9" t="s">
        <v>303</v>
      </c>
      <c r="B11" s="13" t="n">
        <f aca="false">収支計画5年!B$14</f>
        <v>221550</v>
      </c>
      <c r="C11" s="13" t="n">
        <f aca="false">収支計画5年!C$14</f>
        <v>387712.5</v>
      </c>
      <c r="D11" s="13" t="n">
        <f aca="false">収支計画5年!D$14</f>
        <v>581568.75</v>
      </c>
      <c r="E11" s="13" t="n">
        <f aca="false">収支計画5年!E$14</f>
        <v>803118.75</v>
      </c>
      <c r="F11" s="13" t="n">
        <f aca="false">収支計画5年!F$14</f>
        <v>1024668.75</v>
      </c>
      <c r="G11" s="14"/>
    </row>
    <row r="12" customFormat="false" ht="15" hidden="false" customHeight="false" outlineLevel="0" collapsed="false">
      <c r="A12" s="9" t="s">
        <v>304</v>
      </c>
      <c r="B12" s="13" t="n">
        <f aca="false">収支計画5年!B$15</f>
        <v>3386550</v>
      </c>
      <c r="C12" s="13" t="n">
        <f aca="false">収支計画5年!C$15</f>
        <v>5926462.5</v>
      </c>
      <c r="D12" s="13" t="n">
        <f aca="false">収支計画5年!D$15</f>
        <v>8889693.75</v>
      </c>
      <c r="E12" s="13" t="n">
        <f aca="false">収支計画5年!E$15</f>
        <v>12276243.75</v>
      </c>
      <c r="F12" s="13" t="n">
        <f aca="false">収支計画5年!F$15</f>
        <v>15662793.75</v>
      </c>
      <c r="G12" s="14"/>
    </row>
    <row r="13" customFormat="false" ht="15" hidden="false" customHeight="false" outlineLevel="0" collapsed="false">
      <c r="A13" s="35" t="s">
        <v>237</v>
      </c>
      <c r="B13" s="16" t="n">
        <f aca="false">収支計画5年!B$16</f>
        <v>15639066.8</v>
      </c>
      <c r="C13" s="16" t="n">
        <f aca="false">収支計画5年!C$16</f>
        <v>27368366.9</v>
      </c>
      <c r="D13" s="16" t="n">
        <f aca="false">収支計画5年!D$16</f>
        <v>41052550.35</v>
      </c>
      <c r="E13" s="16" t="n">
        <f aca="false">収支計画5年!E$16</f>
        <v>56691617.15</v>
      </c>
      <c r="F13" s="16" t="n">
        <f aca="false">収支計画5年!F$16</f>
        <v>72330683.95</v>
      </c>
      <c r="G13" s="14"/>
    </row>
    <row r="15" customFormat="false" ht="15" hidden="false" customHeight="false" outlineLevel="0" collapsed="false">
      <c r="A15" s="15" t="s">
        <v>314</v>
      </c>
      <c r="B15" s="17"/>
      <c r="C15" s="17"/>
      <c r="D15" s="17"/>
      <c r="E15" s="17"/>
      <c r="F15" s="17"/>
      <c r="G15" s="17"/>
    </row>
    <row r="16" customFormat="false" ht="15" hidden="false" customHeight="false" outlineLevel="0" collapsed="false">
      <c r="A16" s="5" t="s">
        <v>14</v>
      </c>
      <c r="B16" s="31" t="s">
        <v>106</v>
      </c>
      <c r="C16" s="31" t="s">
        <v>107</v>
      </c>
      <c r="D16" s="31" t="s">
        <v>108</v>
      </c>
      <c r="E16" s="31" t="s">
        <v>109</v>
      </c>
      <c r="F16" s="31" t="s">
        <v>110</v>
      </c>
      <c r="G16" s="5" t="s">
        <v>312</v>
      </c>
    </row>
    <row r="17" customFormat="false" ht="15" hidden="false" customHeight="false" outlineLevel="0" collapsed="false">
      <c r="A17" s="9" t="s">
        <v>315</v>
      </c>
      <c r="B17" s="13" t="n">
        <f aca="false">収支計画5年!B$19</f>
        <v>19320000</v>
      </c>
      <c r="C17" s="13" t="n">
        <f aca="false">収支計画5年!C$19</f>
        <v>29440000</v>
      </c>
      <c r="D17" s="13" t="n">
        <f aca="false">収支計画5年!D$19</f>
        <v>39652000</v>
      </c>
      <c r="E17" s="13" t="n">
        <f aca="false">収支計画5年!E$19</f>
        <v>52072000</v>
      </c>
      <c r="F17" s="13" t="n">
        <f aca="false">収支計画5年!F$19</f>
        <v>60352000</v>
      </c>
      <c r="G17" s="14"/>
    </row>
    <row r="18" customFormat="false" ht="15" hidden="false" customHeight="false" outlineLevel="0" collapsed="false">
      <c r="A18" s="9" t="s">
        <v>306</v>
      </c>
      <c r="B18" s="13" t="n">
        <f aca="false">収支計画5年!B$20</f>
        <v>854296.8</v>
      </c>
      <c r="C18" s="13" t="n">
        <f aca="false">収支計画5年!C$20</f>
        <v>1495019.4</v>
      </c>
      <c r="D18" s="13" t="n">
        <f aca="false">収支計画5年!D$20</f>
        <v>2242529.1</v>
      </c>
      <c r="E18" s="13" t="n">
        <f aca="false">収支計画5年!E$20</f>
        <v>3096825.9</v>
      </c>
      <c r="F18" s="13" t="n">
        <f aca="false">収支計画5年!F$20</f>
        <v>3951122.7</v>
      </c>
      <c r="G18" s="14"/>
    </row>
    <row r="19" customFormat="false" ht="15" hidden="false" customHeight="false" outlineLevel="0" collapsed="false">
      <c r="A19" s="9" t="s">
        <v>316</v>
      </c>
      <c r="B19" s="13" t="n">
        <f aca="false">収支計画5年!B$21</f>
        <v>1200000</v>
      </c>
      <c r="C19" s="13" t="n">
        <f aca="false">収支計画5年!C$21</f>
        <v>1200000</v>
      </c>
      <c r="D19" s="13" t="n">
        <f aca="false">収支計画5年!D$21</f>
        <v>3600000</v>
      </c>
      <c r="E19" s="13" t="n">
        <f aca="false">収支計画5年!E$21</f>
        <v>3600000</v>
      </c>
      <c r="F19" s="13" t="n">
        <f aca="false">収支計画5年!F$21</f>
        <v>3600000</v>
      </c>
      <c r="G19" s="14"/>
    </row>
    <row r="20" customFormat="false" ht="15" hidden="false" customHeight="false" outlineLevel="0" collapsed="false">
      <c r="A20" s="9" t="s">
        <v>242</v>
      </c>
      <c r="B20" s="13" t="n">
        <f aca="false">収支計画5年!B$22</f>
        <v>4800000</v>
      </c>
      <c r="C20" s="13" t="n">
        <f aca="false">収支計画5年!C$22</f>
        <v>4800000</v>
      </c>
      <c r="D20" s="13" t="n">
        <f aca="false">収支計画5年!D$22</f>
        <v>4800000</v>
      </c>
      <c r="E20" s="13" t="n">
        <f aca="false">収支計画5年!E$22</f>
        <v>4800000</v>
      </c>
      <c r="F20" s="13" t="n">
        <f aca="false">収支計画5年!F$22</f>
        <v>4800000</v>
      </c>
      <c r="G20" s="14"/>
    </row>
    <row r="21" customFormat="false" ht="15" hidden="false" customHeight="false" outlineLevel="0" collapsed="false">
      <c r="A21" s="9" t="s">
        <v>243</v>
      </c>
      <c r="B21" s="13" t="n">
        <f aca="false">収支計画5年!B$23</f>
        <v>900000</v>
      </c>
      <c r="C21" s="13" t="n">
        <f aca="false">収支計画5年!C$23</f>
        <v>900000</v>
      </c>
      <c r="D21" s="13" t="n">
        <f aca="false">収支計画5年!D$23</f>
        <v>900000</v>
      </c>
      <c r="E21" s="13" t="n">
        <f aca="false">収支計画5年!E$23</f>
        <v>900000</v>
      </c>
      <c r="F21" s="13" t="n">
        <f aca="false">収支計画5年!F$23</f>
        <v>900000</v>
      </c>
      <c r="G21" s="14"/>
    </row>
    <row r="22" customFormat="false" ht="15" hidden="false" customHeight="false" outlineLevel="0" collapsed="false">
      <c r="A22" s="9" t="s">
        <v>317</v>
      </c>
      <c r="B22" s="13" t="n">
        <f aca="false">収支計画5年!B$24</f>
        <v>4650000</v>
      </c>
      <c r="C22" s="13" t="n">
        <f aca="false">収支計画5年!C$24</f>
        <v>4650000</v>
      </c>
      <c r="D22" s="13" t="n">
        <f aca="false">収支計画5年!D$24</f>
        <v>4650000</v>
      </c>
      <c r="E22" s="13" t="n">
        <f aca="false">収支計画5年!E$24</f>
        <v>4650000</v>
      </c>
      <c r="F22" s="13" t="n">
        <f aca="false">収支計画5年!F$24</f>
        <v>4650000</v>
      </c>
      <c r="G22" s="14"/>
    </row>
    <row r="23" customFormat="false" ht="15" hidden="false" customHeight="false" outlineLevel="0" collapsed="false">
      <c r="A23" s="9" t="s">
        <v>245</v>
      </c>
      <c r="B23" s="13" t="n">
        <f aca="false">収支計画5年!B$25</f>
        <v>2312500</v>
      </c>
      <c r="C23" s="13" t="n">
        <f aca="false">収支計画5年!C$25</f>
        <v>2312500</v>
      </c>
      <c r="D23" s="13" t="n">
        <f aca="false">収支計画5年!D$25</f>
        <v>2312500</v>
      </c>
      <c r="E23" s="13" t="n">
        <f aca="false">収支計画5年!E$25</f>
        <v>2312500</v>
      </c>
      <c r="F23" s="13" t="n">
        <f aca="false">収支計画5年!F$25</f>
        <v>2312500</v>
      </c>
      <c r="G23" s="14"/>
    </row>
    <row r="24" customFormat="false" ht="15" hidden="false" customHeight="false" outlineLevel="0" collapsed="false">
      <c r="A24" s="35" t="s">
        <v>246</v>
      </c>
      <c r="B24" s="16" t="n">
        <f aca="false">収支計画5年!B$26</f>
        <v>34036796.8</v>
      </c>
      <c r="C24" s="16" t="n">
        <f aca="false">収支計画5年!C$26</f>
        <v>44797519.4</v>
      </c>
      <c r="D24" s="16" t="n">
        <f aca="false">収支計画5年!D$26</f>
        <v>58157029.1</v>
      </c>
      <c r="E24" s="16" t="n">
        <f aca="false">収支計画5年!E$26</f>
        <v>71431325.9</v>
      </c>
      <c r="F24" s="16" t="n">
        <f aca="false">収支計画5年!F$26</f>
        <v>80565622.7</v>
      </c>
      <c r="G24" s="14"/>
    </row>
    <row r="26" customFormat="false" ht="15" hidden="false" customHeight="false" outlineLevel="0" collapsed="false">
      <c r="A26" s="35" t="s">
        <v>318</v>
      </c>
      <c r="B26" s="16" t="n">
        <f aca="false">収支計画5年!B$28</f>
        <v>-18397730</v>
      </c>
      <c r="C26" s="16" t="n">
        <f aca="false">収支計画5年!C$28</f>
        <v>-17429152.5</v>
      </c>
      <c r="D26" s="16" t="n">
        <f aca="false">収支計画5年!D$28</f>
        <v>-17104478.75</v>
      </c>
      <c r="E26" s="16" t="n">
        <f aca="false">収支計画5年!E$28</f>
        <v>-14739708.75</v>
      </c>
      <c r="F26" s="16" t="n">
        <f aca="false">収支計画5年!F$28</f>
        <v>-8234938.75</v>
      </c>
      <c r="G26" s="14"/>
    </row>
    <row r="27" customFormat="false" ht="15" hidden="false" customHeight="false" outlineLevel="0" collapsed="false">
      <c r="A27" s="9" t="s">
        <v>248</v>
      </c>
      <c r="B27" s="41" t="n">
        <f aca="false">収支計画5年!B$29</f>
        <v>-1.17639564017976</v>
      </c>
      <c r="C27" s="41" t="n">
        <f aca="false">収支計画5年!C$29</f>
        <v>-0.636835678346595</v>
      </c>
      <c r="D27" s="41" t="n">
        <f aca="false">収支計画5年!D$29</f>
        <v>-0.416648383697799</v>
      </c>
      <c r="E27" s="41" t="n">
        <f aca="false">収支計画5年!E$29</f>
        <v>-0.259998029532308</v>
      </c>
      <c r="F27" s="41" t="n">
        <f aca="false">収支計画5年!F$29</f>
        <v>-0.11385124957055</v>
      </c>
      <c r="G27" s="14"/>
    </row>
    <row r="29" customFormat="false" ht="15" hidden="false" customHeight="false" outlineLevel="0" collapsed="false">
      <c r="A29" s="15" t="s">
        <v>319</v>
      </c>
      <c r="B29" s="17"/>
      <c r="C29" s="17"/>
      <c r="D29" s="17"/>
      <c r="E29" s="17"/>
      <c r="F29" s="17"/>
      <c r="G29" s="17"/>
    </row>
    <row r="30" customFormat="false" ht="15" hidden="false" customHeight="false" outlineLevel="0" collapsed="false">
      <c r="A30" s="5" t="s">
        <v>14</v>
      </c>
      <c r="B30" s="31" t="s">
        <v>106</v>
      </c>
      <c r="C30" s="31" t="s">
        <v>107</v>
      </c>
      <c r="D30" s="31" t="s">
        <v>108</v>
      </c>
      <c r="E30" s="31" t="s">
        <v>109</v>
      </c>
      <c r="F30" s="31" t="s">
        <v>110</v>
      </c>
      <c r="G30" s="5" t="s">
        <v>312</v>
      </c>
    </row>
    <row r="31" customFormat="false" ht="15" hidden="false" customHeight="false" outlineLevel="0" collapsed="false">
      <c r="A31" s="9" t="s">
        <v>147</v>
      </c>
      <c r="B31" s="13" t="n">
        <f aca="false">人件費!B$15</f>
        <v>4800000</v>
      </c>
      <c r="C31" s="13" t="n">
        <f aca="false">人件費!C$15</f>
        <v>4800000</v>
      </c>
      <c r="D31" s="13" t="n">
        <f aca="false">人件費!D$15</f>
        <v>4800000</v>
      </c>
      <c r="E31" s="13" t="n">
        <f aca="false">人件費!E$15</f>
        <v>4800000</v>
      </c>
      <c r="F31" s="13" t="n">
        <f aca="false">人件費!F$15</f>
        <v>4800000</v>
      </c>
      <c r="G31" s="14"/>
    </row>
    <row r="32" customFormat="false" ht="15" hidden="false" customHeight="false" outlineLevel="0" collapsed="false">
      <c r="A32" s="9" t="s">
        <v>148</v>
      </c>
      <c r="B32" s="13" t="n">
        <f aca="false">人件費!B$16</f>
        <v>4200000</v>
      </c>
      <c r="C32" s="13" t="n">
        <f aca="false">人件費!C$16</f>
        <v>4200000</v>
      </c>
      <c r="D32" s="13" t="n">
        <f aca="false">人件費!D$16</f>
        <v>4200000</v>
      </c>
      <c r="E32" s="13" t="n">
        <f aca="false">人件費!E$16</f>
        <v>4200000</v>
      </c>
      <c r="F32" s="13" t="n">
        <f aca="false">人件費!F$16</f>
        <v>4200000</v>
      </c>
      <c r="G32" s="14"/>
    </row>
    <row r="33" customFormat="false" ht="15" hidden="false" customHeight="false" outlineLevel="0" collapsed="false">
      <c r="A33" s="9" t="s">
        <v>137</v>
      </c>
      <c r="B33" s="13" t="n">
        <f aca="false">人件費!B$17</f>
        <v>0</v>
      </c>
      <c r="C33" s="13" t="n">
        <f aca="false">人件費!C$17</f>
        <v>0</v>
      </c>
      <c r="D33" s="13" t="n">
        <f aca="false">人件費!D$17</f>
        <v>1680000</v>
      </c>
      <c r="E33" s="13" t="n">
        <f aca="false">人件費!E$17</f>
        <v>1680000</v>
      </c>
      <c r="F33" s="13" t="n">
        <f aca="false">人件費!F$17</f>
        <v>1680000</v>
      </c>
      <c r="G33" s="14"/>
    </row>
    <row r="34" customFormat="false" ht="15" hidden="false" customHeight="false" outlineLevel="0" collapsed="false">
      <c r="A34" s="9" t="s">
        <v>149</v>
      </c>
      <c r="B34" s="13" t="n">
        <f aca="false">人件費!B$18</f>
        <v>0</v>
      </c>
      <c r="C34" s="13" t="n">
        <f aca="false">人件費!C$18</f>
        <v>1600000</v>
      </c>
      <c r="D34" s="13" t="n">
        <f aca="false">人件費!D$18</f>
        <v>1600000</v>
      </c>
      <c r="E34" s="13" t="n">
        <f aca="false">人件費!E$18</f>
        <v>1600000</v>
      </c>
      <c r="F34" s="13" t="n">
        <f aca="false">人件費!F$18</f>
        <v>1600000</v>
      </c>
      <c r="G34" s="14"/>
    </row>
    <row r="35" customFormat="false" ht="15" hidden="false" customHeight="false" outlineLevel="0" collapsed="false">
      <c r="A35" s="9" t="s">
        <v>150</v>
      </c>
      <c r="B35" s="13" t="n">
        <f aca="false">人件費!B$19</f>
        <v>7200000</v>
      </c>
      <c r="C35" s="13" t="n">
        <f aca="false">人件費!C$19</f>
        <v>14400000</v>
      </c>
      <c r="D35" s="13" t="n">
        <f aca="false">人件費!D$19</f>
        <v>21600000</v>
      </c>
      <c r="E35" s="13" t="n">
        <f aca="false">人件費!E$19</f>
        <v>32400000</v>
      </c>
      <c r="F35" s="13" t="n">
        <f aca="false">人件費!F$19</f>
        <v>39600000</v>
      </c>
      <c r="G35" s="14"/>
    </row>
    <row r="36" customFormat="false" ht="15" hidden="false" customHeight="false" outlineLevel="0" collapsed="false">
      <c r="A36" s="9" t="s">
        <v>151</v>
      </c>
      <c r="B36" s="13" t="n">
        <f aca="false">人件費!B$20</f>
        <v>600000</v>
      </c>
      <c r="C36" s="13" t="n">
        <f aca="false">人件費!C$20</f>
        <v>600000</v>
      </c>
      <c r="D36" s="13" t="n">
        <f aca="false">人件費!D$20</f>
        <v>600000</v>
      </c>
      <c r="E36" s="13" t="n">
        <f aca="false">人件費!E$20</f>
        <v>600000</v>
      </c>
      <c r="F36" s="13" t="n">
        <f aca="false">人件費!F$20</f>
        <v>600000</v>
      </c>
      <c r="G36" s="14"/>
    </row>
    <row r="37" customFormat="false" ht="15" hidden="false" customHeight="false" outlineLevel="0" collapsed="false">
      <c r="A37" s="35" t="s">
        <v>152</v>
      </c>
      <c r="B37" s="16" t="n">
        <f aca="false">人件費!B$21</f>
        <v>16800000</v>
      </c>
      <c r="C37" s="16" t="n">
        <f aca="false">人件費!C$21</f>
        <v>25600000</v>
      </c>
      <c r="D37" s="16" t="n">
        <f aca="false">人件費!D$21</f>
        <v>34480000</v>
      </c>
      <c r="E37" s="16" t="n">
        <f aca="false">人件費!E$21</f>
        <v>45280000</v>
      </c>
      <c r="F37" s="16" t="n">
        <f aca="false">人件費!F$21</f>
        <v>52480000</v>
      </c>
      <c r="G37" s="14"/>
    </row>
    <row r="38" customFormat="false" ht="15" hidden="false" customHeight="false" outlineLevel="0" collapsed="false">
      <c r="A38" s="9" t="s">
        <v>320</v>
      </c>
      <c r="B38" s="13" t="n">
        <f aca="false">人件費!B$22</f>
        <v>2520000</v>
      </c>
      <c r="C38" s="13" t="n">
        <f aca="false">人件費!C$22</f>
        <v>3840000</v>
      </c>
      <c r="D38" s="13" t="n">
        <f aca="false">人件費!D$22</f>
        <v>5172000</v>
      </c>
      <c r="E38" s="13" t="n">
        <f aca="false">人件費!E$22</f>
        <v>6792000</v>
      </c>
      <c r="F38" s="13" t="n">
        <f aca="false">人件費!F$22</f>
        <v>7872000</v>
      </c>
      <c r="G38" s="14"/>
    </row>
    <row r="39" customFormat="false" ht="15" hidden="false" customHeight="false" outlineLevel="0" collapsed="false">
      <c r="A39" s="35" t="s">
        <v>154</v>
      </c>
      <c r="B39" s="16" t="n">
        <f aca="false">人件費!B$23</f>
        <v>19320000</v>
      </c>
      <c r="C39" s="16" t="n">
        <f aca="false">人件費!C$23</f>
        <v>29440000</v>
      </c>
      <c r="D39" s="16" t="n">
        <f aca="false">人件費!D$23</f>
        <v>39652000</v>
      </c>
      <c r="E39" s="16" t="n">
        <f aca="false">人件費!E$23</f>
        <v>52072000</v>
      </c>
      <c r="F39" s="16" t="n">
        <f aca="false">人件費!F$23</f>
        <v>60352000</v>
      </c>
      <c r="G39" s="14"/>
    </row>
    <row r="41" customFormat="false" ht="15" hidden="false" customHeight="false" outlineLevel="0" collapsed="false">
      <c r="A41" s="48" t="s">
        <v>321</v>
      </c>
      <c r="B41" s="17"/>
      <c r="C41" s="17"/>
      <c r="D41" s="17"/>
      <c r="E41" s="17"/>
      <c r="F41" s="17"/>
      <c r="G41" s="17"/>
    </row>
    <row r="42" customFormat="false" ht="15" hidden="false" customHeight="false" outlineLevel="0" collapsed="false">
      <c r="A42" s="5" t="s">
        <v>14</v>
      </c>
      <c r="B42" s="31" t="s">
        <v>106</v>
      </c>
      <c r="C42" s="31" t="s">
        <v>107</v>
      </c>
      <c r="D42" s="31" t="s">
        <v>108</v>
      </c>
      <c r="E42" s="31" t="s">
        <v>109</v>
      </c>
      <c r="F42" s="31" t="s">
        <v>110</v>
      </c>
      <c r="G42" s="5" t="s">
        <v>312</v>
      </c>
    </row>
    <row r="43" customFormat="false" ht="15" hidden="false" customHeight="false" outlineLevel="0" collapsed="false">
      <c r="A43" s="9" t="s">
        <v>147</v>
      </c>
      <c r="B43" s="34" t="n">
        <f aca="false">人件費!B$5</f>
        <v>1</v>
      </c>
      <c r="C43" s="34" t="n">
        <f aca="false">人件費!C$5</f>
        <v>1</v>
      </c>
      <c r="D43" s="34" t="n">
        <f aca="false">人件費!D$5</f>
        <v>1</v>
      </c>
      <c r="E43" s="34" t="n">
        <f aca="false">人件費!E$5</f>
        <v>1</v>
      </c>
      <c r="F43" s="34" t="n">
        <f aca="false">人件費!F$5</f>
        <v>1</v>
      </c>
      <c r="G43" s="14"/>
    </row>
    <row r="44" customFormat="false" ht="15" hidden="false" customHeight="false" outlineLevel="0" collapsed="false">
      <c r="A44" s="9" t="s">
        <v>148</v>
      </c>
      <c r="B44" s="34" t="n">
        <f aca="false">人件費!B$6</f>
        <v>1</v>
      </c>
      <c r="C44" s="34" t="n">
        <f aca="false">人件費!C$6</f>
        <v>1</v>
      </c>
      <c r="D44" s="34" t="n">
        <f aca="false">人件費!D$6</f>
        <v>1</v>
      </c>
      <c r="E44" s="34" t="n">
        <f aca="false">人件費!E$6</f>
        <v>1</v>
      </c>
      <c r="F44" s="34" t="n">
        <f aca="false">人件費!F$6</f>
        <v>1</v>
      </c>
      <c r="G44" s="14"/>
    </row>
    <row r="45" customFormat="false" ht="15" hidden="false" customHeight="false" outlineLevel="0" collapsed="false">
      <c r="A45" s="9" t="s">
        <v>137</v>
      </c>
      <c r="B45" s="34" t="n">
        <f aca="false">人件費!B$7</f>
        <v>0</v>
      </c>
      <c r="C45" s="34" t="n">
        <f aca="false">人件費!C$7</f>
        <v>0</v>
      </c>
      <c r="D45" s="34" t="n">
        <f aca="false">人件費!D$7</f>
        <v>0.4</v>
      </c>
      <c r="E45" s="34" t="n">
        <f aca="false">人件費!E$7</f>
        <v>0.4</v>
      </c>
      <c r="F45" s="34" t="n">
        <f aca="false">人件費!F$7</f>
        <v>0.4</v>
      </c>
      <c r="G45" s="14"/>
    </row>
    <row r="46" customFormat="false" ht="15" hidden="false" customHeight="false" outlineLevel="0" collapsed="false">
      <c r="A46" s="9" t="s">
        <v>149</v>
      </c>
      <c r="B46" s="34" t="n">
        <f aca="false">人件費!B$8</f>
        <v>0</v>
      </c>
      <c r="C46" s="34" t="n">
        <f aca="false">人件費!C$8</f>
        <v>0.5</v>
      </c>
      <c r="D46" s="34" t="n">
        <f aca="false">人件費!D$8</f>
        <v>0.5</v>
      </c>
      <c r="E46" s="34" t="n">
        <f aca="false">人件費!E$8</f>
        <v>0.5</v>
      </c>
      <c r="F46" s="34" t="n">
        <f aca="false">人件費!F$8</f>
        <v>0.5</v>
      </c>
      <c r="G46" s="14"/>
    </row>
    <row r="47" customFormat="false" ht="15" hidden="false" customHeight="false" outlineLevel="0" collapsed="false">
      <c r="A47" s="9" t="s">
        <v>150</v>
      </c>
      <c r="B47" s="34" t="n">
        <f aca="false">人件費!B$9</f>
        <v>2</v>
      </c>
      <c r="C47" s="34" t="n">
        <f aca="false">人件費!C$9</f>
        <v>4</v>
      </c>
      <c r="D47" s="34" t="n">
        <f aca="false">人件費!D$9</f>
        <v>6</v>
      </c>
      <c r="E47" s="34" t="n">
        <f aca="false">人件費!E$9</f>
        <v>9</v>
      </c>
      <c r="F47" s="34" t="n">
        <f aca="false">人件費!F$9</f>
        <v>11</v>
      </c>
      <c r="G47" s="14"/>
    </row>
    <row r="48" customFormat="false" ht="15" hidden="false" customHeight="false" outlineLevel="0" collapsed="false">
      <c r="A48" s="35" t="s">
        <v>322</v>
      </c>
      <c r="B48" s="36" t="n">
        <f aca="false">人件費!B$11</f>
        <v>4</v>
      </c>
      <c r="C48" s="36" t="n">
        <f aca="false">人件費!C$11</f>
        <v>6.5</v>
      </c>
      <c r="D48" s="36" t="n">
        <f aca="false">人件費!D$11</f>
        <v>8.9</v>
      </c>
      <c r="E48" s="36" t="n">
        <f aca="false">人件費!E$11</f>
        <v>11.9</v>
      </c>
      <c r="F48" s="36" t="n">
        <f aca="false">人件費!F$11</f>
        <v>13.9</v>
      </c>
      <c r="G48" s="14"/>
    </row>
    <row r="50" customFormat="false" ht="15" hidden="false" customHeight="false" outlineLevel="0" collapsed="false">
      <c r="A50" s="15" t="s">
        <v>323</v>
      </c>
      <c r="B50" s="17"/>
      <c r="C50" s="17"/>
      <c r="D50" s="17"/>
      <c r="E50" s="17"/>
      <c r="F50" s="17"/>
      <c r="G50" s="17"/>
    </row>
    <row r="51" customFormat="false" ht="15" hidden="false" customHeight="false" outlineLevel="0" collapsed="false">
      <c r="A51" s="5" t="s">
        <v>14</v>
      </c>
      <c r="B51" s="5" t="s">
        <v>298</v>
      </c>
      <c r="C51" s="5"/>
      <c r="D51" s="5"/>
      <c r="E51" s="5"/>
      <c r="F51" s="5"/>
      <c r="G51" s="5" t="s">
        <v>312</v>
      </c>
    </row>
    <row r="52" customFormat="false" ht="15" hidden="false" customHeight="false" outlineLevel="0" collapsed="false">
      <c r="A52" s="9" t="str">
        <f aca="false">前提条件!$A$38</f>
        <v>水道光熱費・消耗品費</v>
      </c>
      <c r="B52" s="13" t="n">
        <f aca="false">前提条件!$B$38</f>
        <v>900000</v>
      </c>
      <c r="C52" s="14"/>
      <c r="D52" s="14"/>
      <c r="E52" s="14"/>
      <c r="F52" s="14"/>
      <c r="G52" s="14"/>
    </row>
    <row r="53" customFormat="false" ht="15" hidden="false" customHeight="false" outlineLevel="0" collapsed="false">
      <c r="A53" s="9" t="str">
        <f aca="false">前提条件!$A$39</f>
        <v>給食材料費(外部委託費)</v>
      </c>
      <c r="B53" s="13" t="n">
        <f aca="false">前提条件!$B$39</f>
        <v>1500000</v>
      </c>
      <c r="C53" s="14"/>
      <c r="D53" s="14"/>
      <c r="E53" s="14"/>
      <c r="F53" s="14"/>
      <c r="G53" s="14"/>
    </row>
    <row r="54" customFormat="false" ht="15" hidden="false" customHeight="false" outlineLevel="0" collapsed="false">
      <c r="A54" s="9" t="str">
        <f aca="false">前提条件!$A$40</f>
        <v>嘱託医費用</v>
      </c>
      <c r="B54" s="13" t="n">
        <f aca="false">前提条件!$B$40</f>
        <v>400000</v>
      </c>
      <c r="C54" s="14"/>
      <c r="D54" s="14"/>
      <c r="E54" s="14"/>
      <c r="F54" s="14"/>
      <c r="G54" s="14"/>
    </row>
    <row r="55" customFormat="false" ht="15" hidden="false" customHeight="false" outlineLevel="0" collapsed="false">
      <c r="A55" s="9" t="str">
        <f aca="false">前提条件!$A$41</f>
        <v>税理士顧問料・決算料</v>
      </c>
      <c r="B55" s="13" t="n">
        <f aca="false">前提条件!$B$41</f>
        <v>600000</v>
      </c>
      <c r="C55" s="14"/>
      <c r="D55" s="14"/>
      <c r="E55" s="14"/>
      <c r="F55" s="14"/>
      <c r="G55" s="14"/>
    </row>
    <row r="56" customFormat="false" ht="15" hidden="false" customHeight="false" outlineLevel="0" collapsed="false">
      <c r="A56" s="9" t="str">
        <f aca="false">前提条件!$A$42</f>
        <v>社会保険労務士費用</v>
      </c>
      <c r="B56" s="13" t="n">
        <f aca="false">前提条件!$B$42</f>
        <v>200000</v>
      </c>
      <c r="C56" s="14"/>
      <c r="D56" s="14"/>
      <c r="E56" s="14"/>
      <c r="F56" s="14"/>
      <c r="G56" s="14"/>
    </row>
    <row r="57" customFormat="false" ht="15" hidden="false" customHeight="false" outlineLevel="0" collapsed="false">
      <c r="A57" s="9" t="str">
        <f aca="false">前提条件!$A$43</f>
        <v>記録・請求システム利用料</v>
      </c>
      <c r="B57" s="13" t="n">
        <f aca="false">前提条件!$B$43</f>
        <v>300000</v>
      </c>
      <c r="C57" s="14"/>
      <c r="D57" s="14"/>
      <c r="E57" s="14"/>
      <c r="F57" s="14"/>
      <c r="G57" s="14"/>
    </row>
    <row r="58" customFormat="false" ht="15" hidden="false" customHeight="false" outlineLevel="0" collapsed="false">
      <c r="A58" s="9" t="str">
        <f aca="false">前提条件!$A$44</f>
        <v>損害賠償責任保険・傷害保険</v>
      </c>
      <c r="B58" s="13" t="n">
        <f aca="false">前提条件!$B$44</f>
        <v>250000</v>
      </c>
      <c r="C58" s="14"/>
      <c r="D58" s="14"/>
      <c r="E58" s="14"/>
      <c r="F58" s="14"/>
      <c r="G58" s="14"/>
    </row>
    <row r="59" customFormat="false" ht="15" hidden="false" customHeight="false" outlineLevel="0" collapsed="false">
      <c r="A59" s="9" t="str">
        <f aca="false">前提条件!$A$45</f>
        <v>職員健康診断</v>
      </c>
      <c r="B59" s="13" t="n">
        <f aca="false">前提条件!$B$45</f>
        <v>100000</v>
      </c>
      <c r="C59" s="14"/>
      <c r="D59" s="14"/>
      <c r="E59" s="14"/>
      <c r="F59" s="14"/>
      <c r="G59" s="14"/>
    </row>
    <row r="60" customFormat="false" ht="15" hidden="false" customHeight="false" outlineLevel="0" collapsed="false">
      <c r="A60" s="9" t="str">
        <f aca="false">前提条件!$A$46</f>
        <v>研修費・広告費・虐待防止/BCP等体制整備費</v>
      </c>
      <c r="B60" s="13" t="n">
        <f aca="false">前提条件!$B$46</f>
        <v>400000</v>
      </c>
      <c r="C60" s="14"/>
      <c r="D60" s="14"/>
      <c r="E60" s="14"/>
      <c r="F60" s="14"/>
      <c r="G60" s="14"/>
    </row>
    <row r="61" customFormat="false" ht="15" hidden="false" customHeight="false" outlineLevel="0" collapsed="false">
      <c r="A61" s="35" t="s">
        <v>324</v>
      </c>
      <c r="B61" s="16" t="n">
        <f aca="false">前提条件!$B$24</f>
        <v>4650000</v>
      </c>
      <c r="C61" s="14"/>
      <c r="D61" s="14"/>
      <c r="E61" s="14"/>
      <c r="F61" s="14"/>
      <c r="G61" s="14"/>
    </row>
    <row r="63" customFormat="false" ht="99.75" hidden="false" customHeight="true" outlineLevel="0" collapsed="false">
      <c r="A63" s="7" t="s">
        <v>325</v>
      </c>
      <c r="B63" s="7"/>
      <c r="C63" s="7"/>
      <c r="D63" s="7"/>
      <c r="E63" s="7"/>
      <c r="F63" s="7"/>
      <c r="G63" s="7"/>
    </row>
  </sheetData>
  <mergeCells count="3">
    <mergeCell ref="A1:G1"/>
    <mergeCell ref="A2:G2"/>
    <mergeCell ref="A63:G6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2026-08-19T14:16:19Z</dcterms:created>
  <dc:creator>openpyxl</dc:creator>
  <dc:description/>
  <dc:language>en-US</dc:language>
  <cp:lastModifiedBy/>
  <dcterms:modified xsi:type="dcterms:W3CDTF">2026-08-19T14:16:19Z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