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凡例" sheetId="1" state="visible" r:id="rId3"/>
    <sheet name="報酬単価表" sheetId="2" state="visible" r:id="rId4"/>
    <sheet name="初期投資" sheetId="3" state="visible" r:id="rId5"/>
    <sheet name="前提条件" sheetId="4" state="visible" r:id="rId6"/>
    <sheet name="人件費" sheetId="5" state="visible" r:id="rId7"/>
    <sheet name="収支計画5年"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<sst xmlns="http://schemas.openxmlformats.org/spreadsheetml/2006/main" count="127" uniqueCount="121">
  <si>
    <r>
      <rPr>
        <b val="true"/>
        <sz val="14"/>
        <rFont val="WenQuanYi Zen Hei"/>
        <family val="2"/>
      </rPr>
      <t xml:space="preserve">生活介護事業所 収支計画モデル</t>
    </r>
    <r>
      <rPr>
        <b val="true"/>
        <sz val="14"/>
        <rFont val="Arial"/>
        <family val="0"/>
        <charset val="1"/>
      </rPr>
      <t xml:space="preserve">(</t>
    </r>
    <r>
      <rPr>
        <b val="true"/>
        <sz val="14"/>
        <rFont val="WenQuanYi Zen Hei"/>
        <family val="2"/>
      </rPr>
      <t xml:space="preserve">広島市・定員</t>
    </r>
    <r>
      <rPr>
        <b val="true"/>
        <sz val="14"/>
        <rFont val="Arial"/>
        <family val="0"/>
        <charset val="1"/>
      </rPr>
      <t xml:space="preserve">20</t>
    </r>
    <r>
      <rPr>
        <b val="true"/>
        <sz val="14"/>
        <rFont val="WenQuanYi Zen Hei"/>
        <family val="2"/>
      </rPr>
      <t xml:space="preserve">名想定</t>
    </r>
    <r>
      <rPr>
        <b val="true"/>
        <sz val="14"/>
        <rFont val="Arial"/>
        <family val="0"/>
        <charset val="1"/>
      </rPr>
      <t xml:space="preserve">)</t>
    </r>
  </si>
  <si>
    <t xml:space="preserve">このブックの使い方</t>
  </si>
  <si>
    <t xml:space="preserve">・「前提条件」シートの青字セルが入力用です。稼働率・単位単価・人件費単価などを実情に合わせて書き換えると、他シートの数値が自動で再計算されます。</t>
  </si>
  <si>
    <r>
      <rPr>
        <sz val="11"/>
        <color rgb="FF000000"/>
        <rFont val="WenQuanYi Zen Hei"/>
        <family val="2"/>
      </rPr>
      <t xml:space="preserve">・黄色背景のセルは特に重要な仮定</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です。広島市への申請前に必ず最新の報酬告示・現地見積りで確認してください。</t>
    </r>
  </si>
  <si>
    <r>
      <rPr>
        <sz val="11"/>
        <color rgb="FF000000"/>
        <rFont val="WenQuanYi Zen Hei"/>
        <family val="2"/>
      </rPr>
      <t xml:space="preserve">・黒字のセルは数式</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r>
      <rPr>
        <sz val="11"/>
        <color rgb="FF000000"/>
        <rFont val="WenQuanYi Zen Hei"/>
        <family val="2"/>
      </rPr>
      <t xml:space="preserve">です。直接上書きしないでください。</t>
    </r>
  </si>
  <si>
    <r>
      <rPr>
        <sz val="11"/>
        <color rgb="FF000000"/>
        <rFont val="WenQuanYi Zen Hei"/>
        <family val="2"/>
      </rPr>
      <t xml:space="preserve">・シート構成：前提条件／報酬単価表</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／初期投資／人件費／収支計画</t>
    </r>
    <r>
      <rPr>
        <sz val="11"/>
        <color rgb="FF000000"/>
        <rFont val="Arial"/>
        <family val="0"/>
        <charset val="1"/>
      </rPr>
      <t xml:space="preserve">5</t>
    </r>
    <r>
      <rPr>
        <sz val="11"/>
        <color rgb="FF000000"/>
        <rFont val="WenQuanYi Zen Hei"/>
        <family val="2"/>
      </rPr>
      <t xml:space="preserve">年</t>
    </r>
  </si>
  <si>
    <t xml:space="preserve">・本モデルはあくまで計画段階の概算です。金融機関提出前に税理士・行政書士等の専門家によるレビューを推奨します。</t>
  </si>
  <si>
    <r>
      <rPr>
        <b val="true"/>
        <sz val="11"/>
        <rFont val="WenQuanYi Zen Hei"/>
        <family val="2"/>
      </rPr>
      <t xml:space="preserve">生活介護 基本報酬単位数</t>
    </r>
    <r>
      <rPr>
        <b val="true"/>
        <sz val="11"/>
        <rFont val="Arial"/>
        <family val="0"/>
        <charset val="1"/>
      </rPr>
      <t xml:space="preserve">(</t>
    </r>
    <r>
      <rPr>
        <b val="true"/>
        <sz val="11"/>
        <rFont val="WenQuanYi Zen Hei"/>
        <family val="2"/>
      </rPr>
      <t xml:space="preserve">定員</t>
    </r>
    <r>
      <rPr>
        <b val="true"/>
        <sz val="11"/>
        <rFont val="Arial"/>
        <family val="0"/>
        <charset val="1"/>
      </rPr>
      <t xml:space="preserve">20</t>
    </r>
    <r>
      <rPr>
        <b val="true"/>
        <sz val="11"/>
        <rFont val="WenQuanYi Zen Hei"/>
        <family val="2"/>
      </rPr>
      <t xml:space="preserve">人以下・</t>
    </r>
    <r>
      <rPr>
        <b val="true"/>
        <sz val="11"/>
        <rFont val="Arial"/>
        <family val="0"/>
        <charset val="1"/>
      </rPr>
      <t xml:space="preserve">7</t>
    </r>
    <r>
      <rPr>
        <b val="true"/>
        <sz val="11"/>
        <rFont val="WenQuanYi Zen Hei"/>
        <family val="2"/>
      </rPr>
      <t xml:space="preserve">時間以上</t>
    </r>
    <r>
      <rPr>
        <b val="true"/>
        <sz val="11"/>
        <rFont val="Arial"/>
        <family val="0"/>
        <charset val="1"/>
      </rPr>
      <t xml:space="preserve">/</t>
    </r>
    <r>
      <rPr>
        <b val="true"/>
        <sz val="11"/>
        <rFont val="WenQuanYi Zen Hei"/>
        <family val="2"/>
      </rPr>
      <t xml:space="preserve">日</t>
    </r>
    <r>
      <rPr>
        <b val="true"/>
        <sz val="11"/>
        <rFont val="Arial"/>
        <family val="0"/>
        <charset val="1"/>
      </rPr>
      <t xml:space="preserve">)</t>
    </r>
    <r>
      <rPr>
        <b val="true"/>
        <sz val="11"/>
        <rFont val="WenQuanYi Zen Hei"/>
        <family val="2"/>
      </rPr>
      <t xml:space="preserve">【令和</t>
    </r>
    <r>
      <rPr>
        <b val="true"/>
        <sz val="11"/>
        <rFont val="Arial"/>
        <family val="0"/>
        <charset val="1"/>
      </rPr>
      <t xml:space="preserve">6</t>
    </r>
    <r>
      <rPr>
        <b val="true"/>
        <sz val="11"/>
        <rFont val="WenQuanYi Zen Hei"/>
        <family val="2"/>
      </rPr>
      <t xml:space="preserve">年度報酬改定 目安】</t>
    </r>
  </si>
  <si>
    <t xml:space="preserve">平均障害支援区分</t>
  </si>
  <si>
    <r>
      <rPr>
        <b val="true"/>
        <sz val="11"/>
        <color rgb="FFFFFFFF"/>
        <rFont val="WenQuanYi Zen Hei"/>
        <family val="2"/>
      </rPr>
      <t xml:space="preserve">基本単位数</t>
    </r>
    <r>
      <rPr>
        <b val="true"/>
        <sz val="11"/>
        <color rgb="FFFFFFFF"/>
        <rFont val="Arial"/>
        <family val="0"/>
        <charset val="1"/>
      </rPr>
      <t xml:space="preserve">(</t>
    </r>
    <r>
      <rPr>
        <b val="true"/>
        <sz val="11"/>
        <color rgb="FFFFFFFF"/>
        <rFont val="WenQuanYi Zen Hei"/>
        <family val="2"/>
      </rPr>
      <t xml:space="preserve">単位</t>
    </r>
    <r>
      <rPr>
        <b val="true"/>
        <sz val="11"/>
        <color rgb="FFFFFFFF"/>
        <rFont val="Arial"/>
        <family val="0"/>
        <charset val="1"/>
      </rPr>
      <t xml:space="preserve">/</t>
    </r>
    <r>
      <rPr>
        <b val="true"/>
        <sz val="11"/>
        <color rgb="FFFFFFFF"/>
        <rFont val="WenQuanYi Zen Hei"/>
        <family val="2"/>
      </rPr>
      <t xml:space="preserve">日</t>
    </r>
    <r>
      <rPr>
        <b val="true"/>
        <sz val="11"/>
        <color rgb="FFFFFFFF"/>
        <rFont val="Arial"/>
        <family val="0"/>
        <charset val="1"/>
      </rPr>
      <t xml:space="preserve">)</t>
    </r>
  </si>
  <si>
    <r>
      <rPr>
        <b val="true"/>
        <sz val="11"/>
        <color rgb="FFFFFFFF"/>
        <rFont val="WenQuanYi Zen Hei"/>
        <family val="2"/>
      </rPr>
      <t xml:space="preserve">生活支援員等 配置比率</t>
    </r>
    <r>
      <rPr>
        <b val="true"/>
        <sz val="11"/>
        <color rgb="FFFFFFFF"/>
        <rFont val="Arial"/>
        <family val="0"/>
        <charset val="1"/>
      </rPr>
      <t xml:space="preserve">(</t>
    </r>
    <r>
      <rPr>
        <b val="true"/>
        <sz val="11"/>
        <color rgb="FFFFFFFF"/>
        <rFont val="WenQuanYi Zen Hei"/>
        <family val="2"/>
      </rPr>
      <t xml:space="preserve">対利用者数</t>
    </r>
    <r>
      <rPr>
        <b val="true"/>
        <sz val="11"/>
        <color rgb="FFFFFFFF"/>
        <rFont val="Arial"/>
        <family val="0"/>
        <charset val="1"/>
      </rPr>
      <t xml:space="preserve">)</t>
    </r>
  </si>
  <si>
    <r>
      <rPr>
        <sz val="11"/>
        <color theme="1"/>
        <rFont val="WenQuanYi Zen Hei"/>
        <family val="2"/>
      </rPr>
      <t xml:space="preserve">出典・注記：各種報酬改定解説サイトの記載を集約した目安値です。区分</t>
    </r>
    <r>
      <rPr>
        <sz val="11"/>
        <color theme="1"/>
        <rFont val="Calibri"/>
        <family val="2"/>
        <charset val="1"/>
      </rPr>
      <t xml:space="preserve">2</t>
    </r>
    <r>
      <rPr>
        <sz val="11"/>
        <color theme="1"/>
        <rFont val="WenQuanYi Zen Hei"/>
        <family val="2"/>
      </rPr>
      <t xml:space="preserve">以下は</t>
    </r>
    <r>
      <rPr>
        <sz val="11"/>
        <color theme="1"/>
        <rFont val="Calibri"/>
        <family val="2"/>
        <charset val="1"/>
      </rPr>
      <t xml:space="preserve">546</t>
    </r>
    <r>
      <rPr>
        <sz val="11"/>
        <color theme="1"/>
        <rFont val="WenQuanYi Zen Hei"/>
        <family val="2"/>
      </rPr>
      <t xml:space="preserve">単位として簡易的に一本化しています。申請前に厚生労働省の告示および広島市提示の最新単価表で必ず再確認してください。</t>
    </r>
  </si>
  <si>
    <r>
      <rPr>
        <b val="true"/>
        <sz val="14"/>
        <rFont val="WenQuanYi Zen Hei"/>
        <family val="2"/>
      </rPr>
      <t xml:space="preserve">初期投資</t>
    </r>
    <r>
      <rPr>
        <b val="true"/>
        <sz val="14"/>
        <rFont val="Arial"/>
        <family val="0"/>
        <charset val="1"/>
      </rPr>
      <t xml:space="preserve">(</t>
    </r>
    <r>
      <rPr>
        <b val="true"/>
        <sz val="14"/>
        <rFont val="WenQuanYi Zen Hei"/>
        <family val="2"/>
      </rPr>
      <t xml:space="preserve">開設資金</t>
    </r>
    <r>
      <rPr>
        <b val="true"/>
        <sz val="14"/>
        <rFont val="Arial"/>
        <family val="0"/>
        <charset val="1"/>
      </rPr>
      <t xml:space="preserve">)</t>
    </r>
    <r>
      <rPr>
        <b val="true"/>
        <sz val="14"/>
        <rFont val="WenQuanYi Zen Hei"/>
        <family val="2"/>
      </rPr>
      <t xml:space="preserve">概算</t>
    </r>
  </si>
  <si>
    <t xml:space="preserve">項目</t>
  </si>
  <si>
    <t xml:space="preserve">想定額</t>
  </si>
  <si>
    <r>
      <rPr>
        <b val="true"/>
        <sz val="11"/>
        <color rgb="FFFFFFFF"/>
        <rFont val="WenQuanYi Zen Hei"/>
        <family val="2"/>
      </rPr>
      <t xml:space="preserve">レンジ</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</si>
  <si>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t xml:space="preserve">備考</t>
  </si>
  <si>
    <r>
      <rPr>
        <sz val="11"/>
        <color rgb="FF000000"/>
        <rFont val="WenQuanYi Zen Hei"/>
        <family val="2"/>
      </rPr>
      <t xml:space="preserve">物件取得費</t>
    </r>
    <r>
      <rPr>
        <sz val="11"/>
        <color rgb="FF000000"/>
        <rFont val="Arial"/>
        <family val="0"/>
        <charset val="1"/>
      </rPr>
      <t xml:space="preserve">(</t>
    </r>
    <r>
      <rPr>
        <sz val="11"/>
        <color rgb="FF000000"/>
        <rFont val="WenQuanYi Zen Hei"/>
        <family val="2"/>
      </rPr>
      <t xml:space="preserve">保証金・仲介手数料等</t>
    </r>
    <r>
      <rPr>
        <sz val="11"/>
        <color rgb="FF000000"/>
        <rFont val="Arial"/>
        <family val="0"/>
        <charset val="1"/>
      </rPr>
      <t xml:space="preserve">)</t>
    </r>
  </si>
  <si>
    <r>
      <rPr>
        <sz val="11"/>
        <color rgb="FF000000"/>
        <rFont val="Arial"/>
        <family val="0"/>
        <charset val="1"/>
      </rPr>
      <t xml:space="preserve">200</t>
    </r>
    <r>
      <rPr>
        <sz val="11"/>
        <color rgb="FF000000"/>
        <rFont val="WenQuanYi Zen Hei"/>
        <family val="2"/>
      </rPr>
      <t xml:space="preserve">万〜</t>
    </r>
    <r>
      <rPr>
        <sz val="11"/>
        <color rgb="FF000000"/>
        <rFont val="Arial"/>
        <family val="0"/>
        <charset val="1"/>
      </rPr>
      <t xml:space="preserve">500</t>
    </r>
    <r>
      <rPr>
        <sz val="11"/>
        <color rgb="FF000000"/>
        <rFont val="WenQuanYi Zen Hei"/>
        <family val="2"/>
      </rPr>
      <t xml:space="preserve">万円</t>
    </r>
  </si>
  <si>
    <t xml:space="preserve">賃貸物件を想定</t>
  </si>
  <si>
    <t xml:space="preserve">内装・バリアフリー改修工事費</t>
  </si>
  <si>
    <r>
      <rPr>
        <sz val="11"/>
        <color rgb="FF000000"/>
        <rFont val="Arial"/>
        <family val="0"/>
        <charset val="1"/>
      </rPr>
      <t xml:space="preserve">800</t>
    </r>
    <r>
      <rPr>
        <sz val="11"/>
        <color rgb="FF000000"/>
        <rFont val="WenQuanYi Zen Hei"/>
        <family val="2"/>
      </rPr>
      <t xml:space="preserve">万〜</t>
    </r>
    <r>
      <rPr>
        <sz val="11"/>
        <color rgb="FF000000"/>
        <rFont val="Arial"/>
        <family val="0"/>
        <charset val="1"/>
      </rPr>
      <t xml:space="preserve">1,500</t>
    </r>
    <r>
      <rPr>
        <sz val="11"/>
        <color rgb="FF000000"/>
        <rFont val="WenQuanYi Zen Hei"/>
        <family val="2"/>
      </rPr>
      <t xml:space="preserve">万円</t>
    </r>
  </si>
  <si>
    <t xml:space="preserve">既存建物の状態により大きく変動</t>
  </si>
  <si>
    <t xml:space="preserve">什器・備品費</t>
  </si>
  <si>
    <r>
      <rPr>
        <sz val="11"/>
        <color rgb="FF000000"/>
        <rFont val="Arial"/>
        <family val="0"/>
        <charset val="1"/>
      </rPr>
      <t xml:space="preserve">100</t>
    </r>
    <r>
      <rPr>
        <sz val="11"/>
        <color rgb="FF000000"/>
        <rFont val="WenQuanYi Zen Hei"/>
        <family val="2"/>
      </rPr>
      <t xml:space="preserve">万〜</t>
    </r>
    <r>
      <rPr>
        <sz val="11"/>
        <color rgb="FF000000"/>
        <rFont val="Arial"/>
        <family val="0"/>
        <charset val="1"/>
      </rPr>
      <t xml:space="preserve">300</t>
    </r>
    <r>
      <rPr>
        <sz val="11"/>
        <color rgb="FF000000"/>
        <rFont val="WenQuanYi Zen Hei"/>
        <family val="2"/>
      </rPr>
      <t xml:space="preserve">万円</t>
    </r>
  </si>
  <si>
    <t xml:space="preserve">机・椅子・収納・厨房設備等</t>
  </si>
  <si>
    <r>
      <rPr>
        <sz val="11"/>
        <color rgb="FF000000"/>
        <rFont val="WenQuanYi Zen Hei"/>
        <family val="2"/>
      </rPr>
      <t xml:space="preserve">送迎車両</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t>
    </r>
    <r>
      <rPr>
        <sz val="11"/>
        <color rgb="FF000000"/>
        <rFont val="Arial"/>
        <family val="0"/>
        <charset val="1"/>
      </rPr>
      <t xml:space="preserve">)</t>
    </r>
  </si>
  <si>
    <r>
      <rPr>
        <sz val="11"/>
        <color rgb="FF000000"/>
        <rFont val="Arial"/>
        <family val="0"/>
        <charset val="1"/>
      </rPr>
      <t xml:space="preserve">400</t>
    </r>
    <r>
      <rPr>
        <sz val="11"/>
        <color rgb="FF000000"/>
        <rFont val="WenQuanYi Zen Hei"/>
        <family val="2"/>
      </rPr>
      <t xml:space="preserve">万〜</t>
    </r>
    <r>
      <rPr>
        <sz val="11"/>
        <color rgb="FF000000"/>
        <rFont val="Arial"/>
        <family val="0"/>
        <charset val="1"/>
      </rPr>
      <t xml:space="preserve">800</t>
    </r>
    <r>
      <rPr>
        <sz val="11"/>
        <color rgb="FF000000"/>
        <rFont val="WenQuanYi Zen Hei"/>
        <family val="2"/>
      </rPr>
      <t xml:space="preserve">万円</t>
    </r>
  </si>
  <si>
    <r>
      <rPr>
        <sz val="11"/>
        <color rgb="FF000000"/>
        <rFont val="WenQuanYi Zen Hei"/>
        <family val="2"/>
      </rPr>
      <t xml:space="preserve">新車</t>
    </r>
    <r>
      <rPr>
        <sz val="11"/>
        <color rgb="FF000000"/>
        <rFont val="Arial"/>
        <family val="0"/>
        <charset val="1"/>
      </rPr>
      <t xml:space="preserve">/</t>
    </r>
    <r>
      <rPr>
        <sz val="11"/>
        <color rgb="FF000000"/>
        <rFont val="WenQuanYi Zen Hei"/>
        <family val="2"/>
      </rPr>
      <t xml:space="preserve">中古</t>
    </r>
    <r>
      <rPr>
        <sz val="11"/>
        <color rgb="FF000000"/>
        <rFont val="Arial"/>
        <family val="0"/>
        <charset val="1"/>
      </rPr>
      <t xml:space="preserve">/</t>
    </r>
    <r>
      <rPr>
        <sz val="11"/>
        <color rgb="FF000000"/>
        <rFont val="WenQuanYi Zen Hei"/>
        <family val="2"/>
      </rPr>
      <t xml:space="preserve">リースで幅あり</t>
    </r>
  </si>
  <si>
    <t xml:space="preserve">開業前人件費・採用費・研修費</t>
  </si>
  <si>
    <t xml:space="preserve">求人広告費、研修受講料等</t>
  </si>
  <si>
    <r>
      <rPr>
        <sz val="11"/>
        <color rgb="FF000000"/>
        <rFont val="WenQuanYi Zen Hei"/>
        <family val="2"/>
      </rPr>
      <t xml:space="preserve">運転資金</t>
    </r>
    <r>
      <rPr>
        <sz val="11"/>
        <color rgb="FF000000"/>
        <rFont val="Arial"/>
        <family val="0"/>
        <charset val="1"/>
      </rPr>
      <t xml:space="preserve">(</t>
    </r>
    <r>
      <rPr>
        <sz val="11"/>
        <color rgb="FF000000"/>
        <rFont val="WenQuanYi Zen Hei"/>
        <family val="2"/>
      </rPr>
      <t xml:space="preserve">開所後</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3</t>
    </r>
    <r>
      <rPr>
        <sz val="11"/>
        <color rgb="FF000000"/>
        <rFont val="WenQuanYi Zen Hei"/>
        <family val="2"/>
      </rPr>
      <t xml:space="preserve">か月分</t>
    </r>
    <r>
      <rPr>
        <sz val="11"/>
        <color rgb="FF000000"/>
        <rFont val="Arial"/>
        <family val="0"/>
        <charset val="1"/>
      </rPr>
      <t xml:space="preserve">)</t>
    </r>
  </si>
  <si>
    <r>
      <rPr>
        <sz val="11"/>
        <color rgb="FF000000"/>
        <rFont val="Arial"/>
        <family val="0"/>
        <charset val="1"/>
      </rPr>
      <t xml:space="preserve">600</t>
    </r>
    <r>
      <rPr>
        <sz val="11"/>
        <color rgb="FF000000"/>
        <rFont val="WenQuanYi Zen Hei"/>
        <family val="2"/>
      </rPr>
      <t xml:space="preserve">万〜</t>
    </r>
    <r>
      <rPr>
        <sz val="11"/>
        <color rgb="FF000000"/>
        <rFont val="Arial"/>
        <family val="0"/>
        <charset val="1"/>
      </rPr>
      <t xml:space="preserve">900</t>
    </r>
    <r>
      <rPr>
        <sz val="11"/>
        <color rgb="FF000000"/>
        <rFont val="WenQuanYi Zen Hei"/>
        <family val="2"/>
      </rPr>
      <t xml:space="preserve">万円</t>
    </r>
  </si>
  <si>
    <t xml:space="preserve">報酬入金は請求の翌々月のため必須</t>
  </si>
  <si>
    <t xml:space="preserve">予備費</t>
  </si>
  <si>
    <r>
      <rPr>
        <sz val="11"/>
        <color rgb="FF000000"/>
        <rFont val="Arial"/>
        <family val="0"/>
        <charset val="1"/>
      </rPr>
      <t xml:space="preserve">100</t>
    </r>
    <r>
      <rPr>
        <sz val="11"/>
        <color rgb="FF000000"/>
        <rFont val="WenQuanYi Zen Hei"/>
        <family val="2"/>
      </rPr>
      <t xml:space="preserve">万〜</t>
    </r>
    <r>
      <rPr>
        <sz val="11"/>
        <color rgb="FF000000"/>
        <rFont val="Arial"/>
        <family val="0"/>
        <charset val="1"/>
      </rPr>
      <t xml:space="preserve">200</t>
    </r>
    <r>
      <rPr>
        <sz val="11"/>
        <color rgb="FF000000"/>
        <rFont val="WenQuanYi Zen Hei"/>
        <family val="2"/>
      </rPr>
      <t xml:space="preserve">万円</t>
    </r>
  </si>
  <si>
    <t xml:space="preserve">初期投資合計</t>
  </si>
  <si>
    <r>
      <rPr>
        <sz val="11"/>
        <color rgb="FF000000"/>
        <rFont val="Arial"/>
        <family val="0"/>
        <charset val="1"/>
      </rPr>
      <t xml:space="preserve">(</t>
    </r>
    <r>
      <rPr>
        <sz val="11"/>
        <color rgb="FF000000"/>
        <rFont val="WenQuanYi Zen Hei"/>
        <family val="2"/>
      </rPr>
      <t xml:space="preserve">内訳</t>
    </r>
    <r>
      <rPr>
        <sz val="11"/>
        <color rgb="FF000000"/>
        <rFont val="Arial"/>
        <family val="0"/>
        <charset val="1"/>
      </rPr>
      <t xml:space="preserve">)</t>
    </r>
    <r>
      <rPr>
        <sz val="11"/>
        <color rgb="FF000000"/>
        <rFont val="WenQuanYi Zen Hei"/>
        <family val="2"/>
      </rPr>
      <t xml:space="preserve">減価償却対象額 </t>
    </r>
    <r>
      <rPr>
        <sz val="11"/>
        <color rgb="FF000000"/>
        <rFont val="Arial"/>
        <family val="0"/>
        <charset val="1"/>
      </rPr>
      <t xml:space="preserve">= </t>
    </r>
    <r>
      <rPr>
        <sz val="11"/>
        <color rgb="FF000000"/>
        <rFont val="WenQuanYi Zen Hei"/>
        <family val="2"/>
      </rPr>
      <t xml:space="preserve">内装工事費 </t>
    </r>
    <r>
      <rPr>
        <sz val="11"/>
        <color rgb="FF000000"/>
        <rFont val="Arial"/>
        <family val="0"/>
        <charset val="1"/>
      </rPr>
      <t xml:space="preserve">+ </t>
    </r>
    <r>
      <rPr>
        <sz val="11"/>
        <color rgb="FF000000"/>
        <rFont val="WenQuanYi Zen Hei"/>
        <family val="2"/>
      </rPr>
      <t xml:space="preserve">什器・備品費 </t>
    </r>
    <r>
      <rPr>
        <sz val="11"/>
        <color rgb="FF000000"/>
        <rFont val="Arial"/>
        <family val="0"/>
        <charset val="1"/>
      </rPr>
      <t xml:space="preserve">+ </t>
    </r>
    <r>
      <rPr>
        <sz val="11"/>
        <color rgb="FF000000"/>
        <rFont val="WenQuanYi Zen Hei"/>
        <family val="2"/>
      </rPr>
      <t xml:space="preserve">送迎車両</t>
    </r>
  </si>
  <si>
    <r>
      <rPr>
        <b val="true"/>
        <sz val="14"/>
        <rFont val="WenQuanYi Zen Hei"/>
        <family val="2"/>
      </rPr>
      <t xml:space="preserve">前提条件</t>
    </r>
    <r>
      <rPr>
        <b val="true"/>
        <sz val="14"/>
        <rFont val="Arial"/>
        <family val="0"/>
        <charset val="1"/>
      </rPr>
      <t xml:space="preserve">(</t>
    </r>
    <r>
      <rPr>
        <b val="true"/>
        <sz val="14"/>
        <rFont val="WenQuanYi Zen Hei"/>
        <family val="2"/>
      </rPr>
      <t xml:space="preserve">青字セル＝入力／黄色背景＝要確認の重要仮定</t>
    </r>
    <r>
      <rPr>
        <b val="true"/>
        <sz val="14"/>
        <rFont val="Arial"/>
        <family val="0"/>
        <charset val="1"/>
      </rPr>
      <t xml:space="preserve">)</t>
    </r>
  </si>
  <si>
    <t xml:space="preserve">値</t>
  </si>
  <si>
    <t xml:space="preserve">単位・備考</t>
  </si>
  <si>
    <t xml:space="preserve">利用定員</t>
  </si>
  <si>
    <t xml:space="preserve">名</t>
  </si>
  <si>
    <r>
      <rPr>
        <sz val="11"/>
        <color rgb="FF000000"/>
        <rFont val="WenQuanYi Zen Hei"/>
        <family val="2"/>
      </rPr>
      <t xml:space="preserve">想定する平均障害支援区分</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の整数</t>
    </r>
    <r>
      <rPr>
        <sz val="11"/>
        <color rgb="FF000000"/>
        <rFont val="Arial"/>
        <family val="0"/>
        <charset val="1"/>
      </rPr>
      <t xml:space="preserve">)</t>
    </r>
  </si>
  <si>
    <t xml:space="preserve">「幅広く受け入れ」の中間シナリオ。数値を変えると単位数・配置比率が自動で切り替わります。</t>
  </si>
  <si>
    <r>
      <rPr>
        <sz val="11"/>
        <color rgb="FF000000"/>
        <rFont val="WenQuanYi Zen Hei"/>
        <family val="2"/>
      </rPr>
      <t xml:space="preserve">基本報酬単位数</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</si>
  <si>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</si>
  <si>
    <r>
      <rPr>
        <sz val="11"/>
        <color rgb="FF000000"/>
        <rFont val="WenQuanYi Zen Hei"/>
        <family val="2"/>
      </rPr>
      <t xml:space="preserve">生活支援員等 配置比率</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</si>
  <si>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t xml:space="preserve">対利用者数</t>
  </si>
  <si>
    <r>
      <rPr>
        <sz val="11"/>
        <color rgb="FF000000"/>
        <rFont val="WenQuanYi Zen Hei"/>
        <family val="2"/>
      </rPr>
      <t xml:space="preserve">生活支援員等 必要人数</t>
    </r>
    <r>
      <rPr>
        <sz val="11"/>
        <color rgb="FF000000"/>
        <rFont val="Arial"/>
        <family val="0"/>
        <charset val="1"/>
      </rPr>
      <t xml:space="preserve">(</t>
    </r>
    <r>
      <rPr>
        <sz val="11"/>
        <color rgb="FF000000"/>
        <rFont val="WenQuanYi Zen Hei"/>
        <family val="2"/>
      </rPr>
      <t xml:space="preserve">常勤換算・自動計算</t>
    </r>
    <r>
      <rPr>
        <sz val="11"/>
        <color rgb="FF000000"/>
        <rFont val="Arial"/>
        <family val="0"/>
        <charset val="1"/>
      </rPr>
      <t xml:space="preserve">)</t>
    </r>
  </si>
  <si>
    <t xml:space="preserve">単位単価</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</si>
  <si>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単位。広島市は</t>
    </r>
    <r>
      <rPr>
        <sz val="11"/>
        <color rgb="FF000000"/>
        <rFont val="Arial"/>
        <family val="0"/>
        <charset val="1"/>
      </rPr>
      <t xml:space="preserve">5</t>
    </r>
    <r>
      <rPr>
        <sz val="11"/>
        <color rgb="FF000000"/>
        <rFont val="WenQuanYi Zen Hei"/>
        <family val="2"/>
      </rPr>
      <t xml:space="preserve">級地</t>
    </r>
    <r>
      <rPr>
        <sz val="11"/>
        <color rgb="FF000000"/>
        <rFont val="Arial"/>
        <family val="0"/>
        <charset val="1"/>
      </rPr>
      <t xml:space="preserve">(10%</t>
    </r>
    <r>
      <rPr>
        <sz val="11"/>
        <color rgb="FF000000"/>
        <rFont val="WenQuanYi Zen Hei"/>
        <family val="2"/>
      </rPr>
      <t xml:space="preserve">上乗せ</t>
    </r>
    <r>
      <rPr>
        <sz val="11"/>
        <color rgb="FF000000"/>
        <rFont val="Arial"/>
        <family val="0"/>
        <charset val="1"/>
      </rPr>
      <t xml:space="preserve">)</t>
    </r>
    <r>
      <rPr>
        <sz val="11"/>
        <color rgb="FF000000"/>
        <rFont val="WenQuanYi Zen Hei"/>
        <family val="2"/>
      </rPr>
      <t xml:space="preserve">だがサービス区分ごとの人件費割合を乗じるため実質は数</t>
    </r>
    <r>
      <rPr>
        <sz val="11"/>
        <color rgb="FF000000"/>
        <rFont val="Arial"/>
        <family val="0"/>
        <charset val="1"/>
      </rPr>
      <t xml:space="preserve">%</t>
    </r>
    <r>
      <rPr>
        <sz val="11"/>
        <color rgb="FF000000"/>
        <rFont val="WenQuanYi Zen Hei"/>
        <family val="2"/>
      </rPr>
      <t xml:space="preserve">程度。本モデルは保守的に地域加算なしで試算。要最新単価表確認。</t>
    </r>
  </si>
  <si>
    <r>
      <rPr>
        <sz val="11"/>
        <color rgb="FF000000"/>
        <rFont val="WenQuanYi Zen Hei"/>
        <family val="2"/>
      </rPr>
      <t xml:space="preserve">送迎加算</t>
    </r>
    <r>
      <rPr>
        <sz val="11"/>
        <color rgb="FF000000"/>
        <rFont val="Arial"/>
        <family val="0"/>
        <charset val="1"/>
      </rPr>
      <t xml:space="preserve">(</t>
    </r>
    <r>
      <rPr>
        <sz val="11"/>
        <color rgb="FF000000"/>
        <rFont val="WenQuanYi Zen Hei"/>
        <family val="2"/>
      </rPr>
      <t xml:space="preserve">片道、要確認</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</si>
  <si>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</si>
  <si>
    <t xml:space="preserve">送迎利用率</t>
  </si>
  <si>
    <r>
      <rPr>
        <sz val="11"/>
        <color rgb="FF000000"/>
        <rFont val="Arial"/>
        <family val="0"/>
        <charset val="1"/>
      </rPr>
      <t xml:space="preserve">%(</t>
    </r>
    <r>
      <rPr>
        <sz val="11"/>
        <color rgb="FF000000"/>
        <rFont val="WenQuanYi Zen Hei"/>
        <family val="2"/>
      </rPr>
      <t xml:space="preserve">送迎を利用する利用者の割合</t>
    </r>
    <r>
      <rPr>
        <sz val="11"/>
        <color rgb="FF000000"/>
        <rFont val="Arial"/>
        <family val="0"/>
        <charset val="1"/>
      </rPr>
      <t xml:space="preserve">)</t>
    </r>
  </si>
  <si>
    <r>
      <rPr>
        <sz val="11"/>
        <color rgb="FF000000"/>
        <rFont val="WenQuanYi Zen Hei"/>
        <family val="2"/>
      </rPr>
      <t xml:space="preserve">処遇改善加算等</t>
    </r>
    <r>
      <rPr>
        <sz val="11"/>
        <color rgb="FF000000"/>
        <rFont val="Arial"/>
        <family val="0"/>
        <charset val="1"/>
      </rPr>
      <t xml:space="preserve">(</t>
    </r>
    <r>
      <rPr>
        <sz val="11"/>
        <color rgb="FF000000"/>
        <rFont val="WenQuanYi Zen Hei"/>
        <family val="2"/>
      </rPr>
      <t xml:space="preserve">基本報酬に対する割合、要確認</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</si>
  <si>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。取得区分により概ね</t>
    </r>
    <r>
      <rPr>
        <sz val="11"/>
        <color rgb="FF000000"/>
        <rFont val="Arial"/>
        <family val="0"/>
        <charset val="1"/>
      </rPr>
      <t xml:space="preserve">4.5</t>
    </r>
    <r>
      <rPr>
        <sz val="11"/>
        <color rgb="FF000000"/>
        <rFont val="WenQuanYi Zen Hei"/>
        <family val="2"/>
      </rPr>
      <t xml:space="preserve">〜</t>
    </r>
    <r>
      <rPr>
        <sz val="11"/>
        <color rgb="FF000000"/>
        <rFont val="Arial"/>
        <family val="0"/>
        <charset val="1"/>
      </rPr>
      <t xml:space="preserve">24.5%</t>
    </r>
    <r>
      <rPr>
        <sz val="11"/>
        <color rgb="FF000000"/>
        <rFont val="WenQuanYi Zen Hei"/>
        <family val="2"/>
      </rPr>
      <t xml:space="preserve">相当まで幅あり。本モデルは中位程度の取得を想定。</t>
    </r>
  </si>
  <si>
    <r>
      <rPr>
        <sz val="11"/>
        <color rgb="FF000000"/>
        <rFont val="WenQuanYi Zen Hei"/>
        <family val="2"/>
      </rPr>
      <t xml:space="preserve">その他加算</t>
    </r>
    <r>
      <rPr>
        <sz val="11"/>
        <color rgb="FF000000"/>
        <rFont val="Arial"/>
        <family val="0"/>
        <charset val="1"/>
      </rPr>
      <t xml:space="preserve">(</t>
    </r>
    <r>
      <rPr>
        <sz val="11"/>
        <color rgb="FF000000"/>
        <rFont val="WenQuanYi Zen Hei"/>
        <family val="2"/>
      </rPr>
      <t xml:space="preserve">入浴介助加算等、基本報酬に対する割合、要確認</t>
    </r>
    <r>
      <rPr>
        <sz val="11"/>
        <color rgb="FF000000"/>
        <rFont val="Arial"/>
        <family val="0"/>
        <charset val="1"/>
      </rPr>
      <t xml:space="preserve">)</t>
    </r>
  </si>
  <si>
    <t xml:space="preserve">%</t>
  </si>
  <si>
    <t xml:space="preserve">年間開所日数</t>
  </si>
  <si>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平日運営・年末年始等を除く想定</t>
    </r>
    <r>
      <rPr>
        <sz val="11"/>
        <color rgb="FF000000"/>
        <rFont val="Arial"/>
        <family val="0"/>
        <charset val="1"/>
      </rPr>
      <t xml:space="preserve">)</t>
    </r>
  </si>
  <si>
    <r>
      <rPr>
        <sz val="11"/>
        <color rgb="FF000000"/>
        <rFont val="WenQuanYi Zen Hei"/>
        <family val="2"/>
      </rPr>
      <t xml:space="preserve">月額家賃</t>
    </r>
    <r>
      <rPr>
        <sz val="11"/>
        <color rgb="FF000000"/>
        <rFont val="Arial"/>
        <family val="0"/>
        <charset val="1"/>
      </rPr>
      <t xml:space="preserve">(</t>
    </r>
    <r>
      <rPr>
        <sz val="11"/>
        <color rgb="FF000000"/>
        <rFont val="WenQuanYi Zen Hei"/>
        <family val="2"/>
      </rPr>
      <t xml:space="preserve">要現地確認</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</si>
  <si>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月</t>
    </r>
  </si>
  <si>
    <r>
      <rPr>
        <sz val="11"/>
        <color rgb="FF000000"/>
        <rFont val="WenQuanYi Zen Hei"/>
        <family val="2"/>
      </rPr>
      <t xml:space="preserve">車両関連費</t>
    </r>
    <r>
      <rPr>
        <sz val="11"/>
        <color rgb="FF000000"/>
        <rFont val="Arial"/>
        <family val="0"/>
        <charset val="1"/>
      </rPr>
      <t xml:space="preserve">(</t>
    </r>
    <r>
      <rPr>
        <sz val="11"/>
        <color rgb="FF000000"/>
        <rFont val="WenQuanYi Zen Hei"/>
        <family val="2"/>
      </rPr>
      <t xml:space="preserve">年間</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</si>
  <si>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リース料・燃料費・保険等</t>
    </r>
    <r>
      <rPr>
        <sz val="11"/>
        <color rgb="FF000000"/>
        <rFont val="Arial"/>
        <family val="0"/>
        <charset val="1"/>
      </rPr>
      <t xml:space="preserve">)</t>
    </r>
  </si>
  <si>
    <r>
      <rPr>
        <sz val="11"/>
        <color rgb="FF000000"/>
        <rFont val="WenQuanYi Zen Hei"/>
        <family val="2"/>
      </rPr>
      <t xml:space="preserve">その他経費</t>
    </r>
    <r>
      <rPr>
        <sz val="11"/>
        <color rgb="FF000000"/>
        <rFont val="Arial"/>
        <family val="0"/>
        <charset val="1"/>
      </rPr>
      <t xml:space="preserve">(</t>
    </r>
    <r>
      <rPr>
        <sz val="11"/>
        <color rgb="FF000000"/>
        <rFont val="WenQuanYi Zen Hei"/>
        <family val="2"/>
      </rPr>
      <t xml:space="preserve">年間、水道光熱・消耗品・給食材料等</t>
    </r>
    <r>
      <rPr>
        <sz val="11"/>
        <color rgb="FF000000"/>
        <rFont val="Arial"/>
        <family val="0"/>
        <charset val="1"/>
      </rPr>
      <t xml:space="preserve">)</t>
    </r>
  </si>
  <si>
    <t xml:space="preserve">円</t>
  </si>
  <si>
    <r>
      <rPr>
        <sz val="11"/>
        <color rgb="FF000000"/>
        <rFont val="WenQuanYi Zen Hei"/>
        <family val="2"/>
      </rPr>
      <t xml:space="preserve">減価償却対象額</t>
    </r>
    <r>
      <rPr>
        <sz val="11"/>
        <color rgb="FF000000"/>
        <rFont val="Arial"/>
        <family val="0"/>
        <charset val="1"/>
      </rPr>
      <t xml:space="preserve">(</t>
    </r>
    <r>
      <rPr>
        <sz val="11"/>
        <color rgb="FF000000"/>
        <rFont val="WenQuanYi Zen Hei"/>
        <family val="2"/>
      </rPr>
      <t xml:space="preserve">初期投資シートより自動計算</t>
    </r>
    <r>
      <rPr>
        <sz val="11"/>
        <color rgb="FF000000"/>
        <rFont val="Arial"/>
        <family val="0"/>
        <charset val="1"/>
      </rPr>
      <t xml:space="preserve">)</t>
    </r>
  </si>
  <si>
    <r>
      <rPr>
        <sz val="11"/>
        <color rgb="FF000000"/>
        <rFont val="WenQuanYi Zen Hei"/>
        <family val="2"/>
      </rPr>
      <t xml:space="preserve">減価償却耐用年数</t>
    </r>
    <r>
      <rPr>
        <sz val="11"/>
        <color rgb="FF000000"/>
        <rFont val="Arial"/>
        <family val="0"/>
        <charset val="1"/>
      </rPr>
      <t xml:space="preserve">(</t>
    </r>
    <r>
      <rPr>
        <sz val="11"/>
        <color rgb="FF000000"/>
        <rFont val="WenQuanYi Zen Hei"/>
        <family val="2"/>
      </rPr>
      <t xml:space="preserve">想定</t>
    </r>
    <r>
      <rPr>
        <sz val="11"/>
        <color rgb="FF000000"/>
        <rFont val="Arial"/>
        <family val="0"/>
        <charset val="1"/>
      </rPr>
      <t xml:space="preserve">)</t>
    </r>
  </si>
  <si>
    <t xml:space="preserve">年</t>
  </si>
  <si>
    <t xml:space="preserve">想定スタッフ体制・年間人件費</t>
  </si>
  <si>
    <t xml:space="preserve">職種</t>
  </si>
  <si>
    <r>
      <rPr>
        <b val="true"/>
        <sz val="11"/>
        <color rgb="FFFFFFFF"/>
        <rFont val="WenQuanYi Zen Hei"/>
        <family val="2"/>
      </rPr>
      <t xml:space="preserve">人数</t>
    </r>
    <r>
      <rPr>
        <b val="true"/>
        <sz val="11"/>
        <color rgb="FFFFFFFF"/>
        <rFont val="Arial"/>
        <family val="0"/>
        <charset val="1"/>
      </rPr>
      <t xml:space="preserve">(</t>
    </r>
    <r>
      <rPr>
        <b val="true"/>
        <sz val="11"/>
        <color rgb="FFFFFFFF"/>
        <rFont val="WenQuanYi Zen Hei"/>
        <family val="2"/>
      </rPr>
      <t xml:space="preserve">常勤換算</t>
    </r>
    <r>
      <rPr>
        <b val="true"/>
        <sz val="11"/>
        <color rgb="FFFFFFFF"/>
        <rFont val="Arial"/>
        <family val="0"/>
        <charset val="1"/>
      </rPr>
      <t xml:space="preserve">)</t>
    </r>
  </si>
  <si>
    <r>
      <rPr>
        <b val="true"/>
        <sz val="11"/>
        <color rgb="FFFFFFFF"/>
        <rFont val="WenQuanYi Zen Hei"/>
        <family val="2"/>
      </rPr>
      <t xml:space="preserve">想定年収単価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r>
      <rPr>
        <b val="true"/>
        <sz val="11"/>
        <color rgb="FFFFFFFF"/>
        <rFont val="WenQuanYi Zen Hei"/>
        <family val="2"/>
      </rPr>
      <t xml:space="preserve">人</t>
    </r>
    <r>
      <rPr>
        <b val="true"/>
        <sz val="11"/>
        <color rgb="FFFFFFFF"/>
        <rFont val="Arial"/>
        <family val="0"/>
        <charset val="1"/>
      </rPr>
      <t xml:space="preserve">)</t>
    </r>
  </si>
  <si>
    <r>
      <rPr>
        <b val="true"/>
        <sz val="11"/>
        <color rgb="FFFFFFFF"/>
        <rFont val="WenQuanYi Zen Hei"/>
        <family val="2"/>
      </rPr>
      <t xml:space="preserve">年間人件費</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</si>
  <si>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管理者</t>
  </si>
  <si>
    <t xml:space="preserve">専従、サービス管理責任者との兼務可</t>
  </si>
  <si>
    <t xml:space="preserve">サービス管理責任者</t>
  </si>
  <si>
    <r>
      <rPr>
        <sz val="11"/>
        <color rgb="FF000000"/>
        <rFont val="WenQuanYi Zen Hei"/>
        <family val="2"/>
      </rPr>
      <t xml:space="preserve">要有資格者</t>
    </r>
    <r>
      <rPr>
        <sz val="11"/>
        <color rgb="FF000000"/>
        <rFont val="Arial"/>
        <family val="0"/>
        <charset val="1"/>
      </rPr>
      <t xml:space="preserve">(</t>
    </r>
    <r>
      <rPr>
        <sz val="11"/>
        <color rgb="FF000000"/>
        <rFont val="WenQuanYi Zen Hei"/>
        <family val="2"/>
      </rPr>
      <t xml:space="preserve">実務経験＋研修修了</t>
    </r>
    <r>
      <rPr>
        <sz val="11"/>
        <color rgb="FF000000"/>
        <rFont val="Arial"/>
        <family val="0"/>
        <charset val="1"/>
      </rPr>
      <t xml:space="preserve">)</t>
    </r>
  </si>
  <si>
    <t xml:space="preserve">生活支援員等</t>
  </si>
  <si>
    <r>
      <rPr>
        <sz val="11"/>
        <color rgb="FF000000"/>
        <rFont val="WenQuanYi Zen Hei"/>
        <family val="2"/>
      </rPr>
      <t xml:space="preserve">平均障害支援区分により人数が変動</t>
    </r>
    <r>
      <rPr>
        <sz val="11"/>
        <color rgb="FF000000"/>
        <rFont val="Arial"/>
        <family val="0"/>
        <charset val="1"/>
      </rPr>
      <t xml:space="preserve">(</t>
    </r>
    <r>
      <rPr>
        <sz val="11"/>
        <color rgb="FF000000"/>
        <rFont val="WenQuanYi Zen Hei"/>
        <family val="2"/>
      </rPr>
      <t xml:space="preserve">前提条件シートで調整</t>
    </r>
    <r>
      <rPr>
        <sz val="11"/>
        <color rgb="FF000000"/>
        <rFont val="Arial"/>
        <family val="0"/>
        <charset val="1"/>
      </rPr>
      <t xml:space="preserve">)</t>
    </r>
    <r>
      <rPr>
        <sz val="11"/>
        <color rgb="FF000000"/>
        <rFont val="WenQuanYi Zen Hei"/>
        <family val="2"/>
      </rPr>
      <t xml:space="preserve">。看護・機能訓練の担い手を含む想定。送迎は生活支援員が輪番で担当。</t>
    </r>
  </si>
  <si>
    <r>
      <rPr>
        <sz val="11"/>
        <color rgb="FF000000"/>
        <rFont val="WenQuanYi Zen Hei"/>
        <family val="2"/>
      </rPr>
      <t xml:space="preserve">事務員</t>
    </r>
    <r>
      <rPr>
        <sz val="11"/>
        <color rgb="FF000000"/>
        <rFont val="Arial"/>
        <family val="0"/>
        <charset val="1"/>
      </rPr>
      <t xml:space="preserve">(</t>
    </r>
    <r>
      <rPr>
        <sz val="11"/>
        <color rgb="FF000000"/>
        <rFont val="WenQuanYi Zen Hei"/>
        <family val="2"/>
      </rPr>
      <t xml:space="preserve">パート</t>
    </r>
    <r>
      <rPr>
        <sz val="11"/>
        <color rgb="FF000000"/>
        <rFont val="Arial"/>
        <family val="0"/>
        <charset val="1"/>
      </rPr>
      <t xml:space="preserve">)</t>
    </r>
  </si>
  <si>
    <t xml:space="preserve">経理・請求事務等</t>
  </si>
  <si>
    <r>
      <rPr>
        <sz val="11"/>
        <color rgb="FF000000"/>
        <rFont val="WenQuanYi Zen Hei"/>
        <family val="2"/>
      </rPr>
      <t xml:space="preserve">送迎・調理等 兼務手当</t>
    </r>
    <r>
      <rPr>
        <sz val="11"/>
        <color rgb="FF000000"/>
        <rFont val="Arial"/>
        <family val="0"/>
        <charset val="1"/>
      </rPr>
      <t xml:space="preserve">(</t>
    </r>
    <r>
      <rPr>
        <sz val="11"/>
        <color rgb="FF000000"/>
        <rFont val="WenQuanYi Zen Hei"/>
        <family val="2"/>
      </rPr>
      <t xml:space="preserve">固定</t>
    </r>
    <r>
      <rPr>
        <sz val="11"/>
        <color rgb="FF000000"/>
        <rFont val="Arial"/>
        <family val="0"/>
        <charset val="1"/>
      </rPr>
      <t xml:space="preserve">)</t>
    </r>
  </si>
  <si>
    <r>
      <rPr>
        <sz val="11"/>
        <color rgb="FF000000"/>
        <rFont val="WenQuanYi Zen Hei"/>
        <family val="2"/>
      </rPr>
      <t xml:space="preserve">生活支援員の送迎兼務手当＋調理は外部委託</t>
    </r>
    <r>
      <rPr>
        <sz val="11"/>
        <color rgb="FF000000"/>
        <rFont val="Arial"/>
        <family val="0"/>
        <charset val="1"/>
      </rPr>
      <t xml:space="preserve">(</t>
    </r>
    <r>
      <rPr>
        <sz val="11"/>
        <color rgb="FF000000"/>
        <rFont val="WenQuanYi Zen Hei"/>
        <family val="2"/>
      </rPr>
      <t xml:space="preserve">給食委託費はその他経費に計上</t>
    </r>
    <r>
      <rPr>
        <sz val="11"/>
        <color rgb="FF000000"/>
        <rFont val="Arial"/>
        <family val="0"/>
        <charset val="1"/>
      </rPr>
      <t xml:space="preserve">)</t>
    </r>
    <r>
      <rPr>
        <sz val="11"/>
        <color rgb="FF000000"/>
        <rFont val="WenQuanYi Zen Hei"/>
        <family val="2"/>
      </rPr>
      <t xml:space="preserve">を想定</t>
    </r>
  </si>
  <si>
    <r>
      <rPr>
        <sz val="11"/>
        <color rgb="FF000000"/>
        <rFont val="WenQuanYi Zen Hei"/>
        <family val="2"/>
      </rPr>
      <t xml:space="preserve">追加看護・機能訓練</t>
    </r>
    <r>
      <rPr>
        <sz val="11"/>
        <color rgb="FF000000"/>
        <rFont val="Arial"/>
        <family val="0"/>
        <charset val="1"/>
      </rPr>
      <t xml:space="preserve">(</t>
    </r>
    <r>
      <rPr>
        <sz val="11"/>
        <color rgb="FF000000"/>
        <rFont val="WenQuanYi Zen Hei"/>
        <family val="2"/>
      </rPr>
      <t xml:space="preserve">非常勤、要検討</t>
    </r>
    <r>
      <rPr>
        <sz val="11"/>
        <color rgb="FF000000"/>
        <rFont val="Arial"/>
        <family val="0"/>
        <charset val="1"/>
      </rPr>
      <t xml:space="preserve">)</t>
    </r>
  </si>
  <si>
    <r>
      <rPr>
        <sz val="11"/>
        <color rgb="FF000000"/>
        <rFont val="WenQuanYi Zen Hei"/>
        <family val="2"/>
      </rPr>
      <t xml:space="preserve">医療的ケア対応を強化する場合に追加。定員・受入層次第で増減</t>
    </r>
    <r>
      <rPr>
        <sz val="11"/>
        <color rgb="FF000000"/>
        <rFont val="Arial"/>
        <family val="0"/>
        <charset val="1"/>
      </rPr>
      <t xml:space="preserve">(0</t>
    </r>
    <r>
      <rPr>
        <sz val="11"/>
        <color rgb="FF000000"/>
        <rFont val="WenQuanYi Zen Hei"/>
        <family val="2"/>
      </rPr>
      <t xml:space="preserve">名にする選択肢もあり</t>
    </r>
    <r>
      <rPr>
        <sz val="11"/>
        <color rgb="FF000000"/>
        <rFont val="Arial"/>
        <family val="0"/>
        <charset val="1"/>
      </rPr>
      <t xml:space="preserve">)</t>
    </r>
  </si>
  <si>
    <t xml:space="preserve">人件費 小計</t>
  </si>
  <si>
    <r>
      <rPr>
        <sz val="11"/>
        <color rgb="FF000000"/>
        <rFont val="WenQuanYi Zen Hei"/>
        <family val="2"/>
      </rPr>
      <t xml:space="preserve">法定福利費等</t>
    </r>
    <r>
      <rPr>
        <sz val="11"/>
        <color rgb="FF000000"/>
        <rFont val="Arial"/>
        <family val="0"/>
        <charset val="1"/>
      </rPr>
      <t xml:space="preserve">(</t>
    </r>
    <r>
      <rPr>
        <sz val="11"/>
        <color rgb="FF000000"/>
        <rFont val="WenQuanYi Zen Hei"/>
        <family val="2"/>
      </rPr>
      <t xml:space="preserve">小計の概算</t>
    </r>
    <r>
      <rPr>
        <sz val="11"/>
        <color rgb="FF000000"/>
        <rFont val="Arial"/>
        <family val="0"/>
        <charset val="1"/>
      </rPr>
      <t xml:space="preserve">15%)</t>
    </r>
  </si>
  <si>
    <r>
      <rPr>
        <b val="true"/>
        <sz val="11"/>
        <rFont val="WenQuanYi Zen Hei"/>
        <family val="2"/>
      </rPr>
      <t xml:space="preserve">人件費 合計</t>
    </r>
    <r>
      <rPr>
        <b val="true"/>
        <sz val="11"/>
        <rFont val="Arial"/>
        <family val="0"/>
        <charset val="1"/>
      </rPr>
      <t xml:space="preserve">(</t>
    </r>
    <r>
      <rPr>
        <b val="true"/>
        <sz val="11"/>
        <rFont val="WenQuanYi Zen Hei"/>
        <family val="2"/>
      </rPr>
      <t xml:space="preserve">法定福利費込</t>
    </r>
    <r>
      <rPr>
        <b val="true"/>
        <sz val="11"/>
        <rFont val="Arial"/>
        <family val="0"/>
        <charset val="1"/>
      </rPr>
      <t xml:space="preserve">)</t>
    </r>
  </si>
  <si>
    <r>
      <rPr>
        <b val="true"/>
        <sz val="14"/>
        <rFont val="Arial"/>
        <family val="0"/>
        <charset val="1"/>
      </rPr>
      <t xml:space="preserve">5</t>
    </r>
    <r>
      <rPr>
        <b val="true"/>
        <sz val="14"/>
        <rFont val="WenQuanYi Zen Hei"/>
        <family val="2"/>
      </rPr>
      <t xml:space="preserve">ヵ年収支計画</t>
    </r>
    <r>
      <rPr>
        <b val="true"/>
        <sz val="14"/>
        <rFont val="Arial"/>
        <family val="0"/>
        <charset val="1"/>
      </rPr>
      <t xml:space="preserve">(</t>
    </r>
    <r>
      <rPr>
        <b val="true"/>
        <sz val="14"/>
        <rFont val="WenQuanYi Zen Hei"/>
        <family val="2"/>
      </rPr>
      <t xml:space="preserve">概算シミュレーション</t>
    </r>
    <r>
      <rPr>
        <b val="true"/>
        <sz val="14"/>
        <rFont val="Arial"/>
        <family val="0"/>
        <charset val="1"/>
      </rPr>
      <t xml:space="preserve">)</t>
    </r>
  </si>
  <si>
    <t xml:space="preserve">Year1</t>
  </si>
  <si>
    <t xml:space="preserve">Year2</t>
  </si>
  <si>
    <t xml:space="preserve">Year3</t>
  </si>
  <si>
    <t xml:space="preserve">Year4</t>
  </si>
  <si>
    <t xml:space="preserve">Year5</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</si>
  <si>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想定・入力</t>
    </r>
    <r>
      <rPr>
        <sz val="11"/>
        <color rgb="FF000000"/>
        <rFont val="Arial"/>
        <family val="0"/>
        <charset val="1"/>
      </rPr>
      <t xml:space="preserve">)</t>
    </r>
  </si>
  <si>
    <r>
      <rPr>
        <sz val="11"/>
        <color rgb="FF000000"/>
        <rFont val="WenQuanYi Zen Hei"/>
        <family val="2"/>
      </rPr>
      <t xml:space="preserve">平均利用者数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</si>
  <si>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年間開所日数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</si>
  <si>
    <r>
      <rPr>
        <sz val="11"/>
        <color rgb="FF000000"/>
        <rFont val="WenQuanYi Zen Hei"/>
        <family val="2"/>
      </rPr>
      <t xml:space="preserve">基本報酬単価</t>
    </r>
    <r>
      <rPr>
        <sz val="11"/>
        <color rgb="FF000000"/>
        <rFont val="Arial"/>
        <family val="0"/>
        <charset val="1"/>
      </rPr>
      <t xml:space="preserve">(</t>
    </r>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</si>
  <si>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t xml:space="preserve">【収入】</t>
  </si>
  <si>
    <t xml:space="preserve">基本報酬収入</t>
  </si>
  <si>
    <r>
      <rPr>
        <sz val="11"/>
        <color rgb="FF000000"/>
        <rFont val="WenQuanYi Zen Hei"/>
        <family val="2"/>
      </rPr>
      <t xml:space="preserve">送迎加算収入</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</si>
  <si>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処遇改善加算等収入</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</si>
  <si>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その他加算収入</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</si>
  <si>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t xml:space="preserve">収入合計</t>
  </si>
  <si>
    <t xml:space="preserve">【経費】</t>
  </si>
  <si>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t>
    </r>
    <r>
      <rPr>
        <sz val="11"/>
        <color rgb="FF000000"/>
        <rFont val="Arial"/>
        <family val="0"/>
        <charset val="1"/>
      </rPr>
      <t xml:space="preserve">)</t>
    </r>
  </si>
  <si>
    <t xml:space="preserve">地代家賃</t>
  </si>
  <si>
    <t xml:space="preserve">車両関連費</t>
  </si>
  <si>
    <t xml:space="preserve">その他経費</t>
  </si>
  <si>
    <t xml:space="preserve">減価償却費</t>
  </si>
  <si>
    <t xml:space="preserve">経費合計</t>
  </si>
  <si>
    <t xml:space="preserve">営業利益</t>
  </si>
  <si>
    <t xml:space="preserve">営業利益率</t>
  </si>
  <si>
    <r>
      <rPr>
        <b val="true"/>
        <sz val="11"/>
        <rFont val="WenQuanYi Zen Hei"/>
        <family val="2"/>
      </rPr>
      <t xml:space="preserve">【簡易資金繰り</t>
    </r>
    <r>
      <rPr>
        <b val="true"/>
        <sz val="11"/>
        <rFont val="Arial"/>
        <family val="0"/>
        <charset val="1"/>
      </rPr>
      <t xml:space="preserve">(</t>
    </r>
    <r>
      <rPr>
        <b val="true"/>
        <sz val="11"/>
        <rFont val="WenQuanYi Zen Hei"/>
        <family val="2"/>
      </rPr>
      <t xml:space="preserve">参考</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</si>
  <si>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簡易キャッシュフロー</t>
    </r>
    <r>
      <rPr>
        <sz val="11"/>
        <color rgb="FF000000"/>
        <rFont val="Arial"/>
        <family val="0"/>
        <charset val="1"/>
      </rPr>
      <t xml:space="preserve">(</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</si>
  <si>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融資元金返済</t>
    </r>
    <r>
      <rPr>
        <sz val="11"/>
        <color rgb="FF000000"/>
        <rFont val="Arial"/>
        <family val="0"/>
        <charset val="1"/>
      </rPr>
      <t xml:space="preserve">(</t>
    </r>
    <r>
      <rPr>
        <sz val="11"/>
        <color rgb="FF000000"/>
        <rFont val="WenQuanYi Zen Hei"/>
        <family val="2"/>
      </rPr>
      <t xml:space="preserve">想定・入力</t>
    </r>
    <r>
      <rPr>
        <sz val="11"/>
        <color rgb="FF000000"/>
        <rFont val="Arial"/>
        <family val="0"/>
        <charset val="1"/>
      </rPr>
      <t xml:space="preserve">)</t>
    </r>
  </si>
  <si>
    <t xml:space="preserve">単年キャッシュフロー</t>
  </si>
  <si>
    <r>
      <rPr>
        <b val="true"/>
        <sz val="11"/>
        <rFont val="WenQuanYi Zen Hei"/>
        <family val="2"/>
      </rPr>
      <t xml:space="preserve">累積キャッシュフロー</t>
    </r>
    <r>
      <rPr>
        <b val="true"/>
        <sz val="11"/>
        <rFont val="Arial"/>
        <family val="0"/>
        <charset val="1"/>
      </rPr>
      <t xml:space="preserve">(</t>
    </r>
    <r>
      <rPr>
        <b val="true"/>
        <sz val="11"/>
        <rFont val="WenQuanYi Zen Hei"/>
        <family val="2"/>
      </rPr>
      <t xml:space="preserve">開所後・運転資金除く</t>
    </r>
    <r>
      <rPr>
        <b val="true"/>
        <sz val="11"/>
        <rFont val="Arial"/>
        <family val="0"/>
        <charset val="1"/>
      </rPr>
      <t xml:space="preserve">)</t>
    </r>
  </si>
</sst>
</file>

<file path=xl/styles.xml><?xml version="1.0" encoding="utf-8"?>
<styleSheet xmlns="http://schemas.openxmlformats.org/spreadsheetml/2006/main">
  <numFmts count="6">
    <numFmt numFmtId="164" formatCode="General"/>
    <numFmt numFmtId="165" formatCode="#,##0\円"/>
    <numFmt numFmtId="166" formatCode="0.00\円"/>
    <numFmt numFmtId="167" formatCode="0.0%"/>
    <numFmt numFmtId="168" formatCode="0.0"/>
    <numFmt numFmtId="169" formatCode="0"/>
  </numFmts>
  <fonts count="14">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4"/>
      <name val="Arial"/>
      <family val="0"/>
      <charset val="1"/>
    </font>
    <font>
      <b val="true"/>
      <sz val="11"/>
      <name val="WenQuanYi Zen Hei"/>
      <family val="2"/>
    </font>
    <font>
      <sz val="11"/>
      <color rgb="FF000000"/>
      <name val="WenQuanYi Zen Hei"/>
      <family val="2"/>
    </font>
    <font>
      <sz val="11"/>
      <color rgb="FF000000"/>
      <name val="Arial"/>
      <family val="0"/>
      <charset val="1"/>
    </font>
    <font>
      <b val="true"/>
      <sz val="11"/>
      <name val="Arial"/>
      <family val="0"/>
      <charset val="1"/>
    </font>
    <font>
      <b val="true"/>
      <sz val="11"/>
      <color rgb="FFFFFFFF"/>
      <name val="WenQuanYi Zen Hei"/>
      <family val="2"/>
    </font>
    <font>
      <b val="true"/>
      <sz val="11"/>
      <color rgb="FFFFFFFF"/>
      <name val="Arial"/>
      <family val="0"/>
      <charset val="1"/>
    </font>
    <font>
      <sz val="11"/>
      <color theme="1"/>
      <name val="WenQuanYi Zen Hei"/>
      <family val="2"/>
    </font>
    <font>
      <sz val="11"/>
      <color rgb="FF0000FF"/>
      <name val="Arial"/>
      <family val="0"/>
      <charset val="1"/>
    </font>
  </fonts>
  <fills count="5">
    <fill>
      <patternFill patternType="none"/>
    </fill>
    <fill>
      <patternFill patternType="gray125"/>
    </fill>
    <fill>
      <patternFill patternType="solid">
        <fgColor rgb="FF305496"/>
        <bgColor rgb="FF666699"/>
      </patternFill>
    </fill>
    <fill>
      <patternFill patternType="solid">
        <fgColor rgb="FFD9E1F2"/>
        <bgColor rgb="FFCC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s>
  <sheetData>
    <row r="1" customFormat="false" ht="19.4" hidden="false" customHeight="false" outlineLevel="0" collapsed="false">
      <c r="A1" s="1" t="s">
        <v>0</v>
      </c>
    </row>
    <row r="3" customFormat="false" ht="15" hidden="false" customHeight="false" outlineLevel="0" collapsed="false">
      <c r="A3" s="2" t="s">
        <v>1</v>
      </c>
    </row>
    <row r="4" customFormat="false" ht="31.5" hidden="false" customHeight="true" outlineLevel="0" collapsed="false">
      <c r="A4" s="3" t="s">
        <v>2</v>
      </c>
    </row>
    <row r="5" customFormat="false" ht="31.5" hidden="false" customHeight="true" outlineLevel="0" collapsed="false">
      <c r="A5" s="3" t="s">
        <v>3</v>
      </c>
    </row>
    <row r="6" customFormat="false" ht="31.5" hidden="false" customHeight="true" outlineLevel="0" collapsed="false">
      <c r="A6" s="3" t="s">
        <v>4</v>
      </c>
    </row>
    <row r="7" customFormat="false" ht="31.5" hidden="false" customHeight="true" outlineLevel="0" collapsed="false">
      <c r="A7" s="3" t="s">
        <v>5</v>
      </c>
    </row>
    <row r="8" customFormat="false" ht="31.5" hidden="false" customHeight="true" outlineLevel="0" collapsed="false">
      <c r="A8"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0"/>
  </cols>
  <sheetData>
    <row r="1" customFormat="false" ht="14.9" hidden="false" customHeight="false" outlineLevel="0" collapsed="false">
      <c r="A1" s="4" t="s">
        <v>7</v>
      </c>
      <c r="B1" s="4"/>
      <c r="C1" s="4"/>
    </row>
    <row r="2" customFormat="false" ht="15" hidden="false" customHeight="false" outlineLevel="0" collapsed="false">
      <c r="A2" s="5" t="s">
        <v>8</v>
      </c>
      <c r="B2" s="5" t="s">
        <v>9</v>
      </c>
      <c r="C2" s="5" t="s">
        <v>10</v>
      </c>
    </row>
    <row r="3" customFormat="false" ht="15" hidden="false" customHeight="false" outlineLevel="0" collapsed="false">
      <c r="A3" s="6" t="n">
        <v>2</v>
      </c>
      <c r="B3" s="6" t="n">
        <v>546</v>
      </c>
      <c r="C3" s="6" t="n">
        <v>6</v>
      </c>
    </row>
    <row r="4" customFormat="false" ht="15" hidden="false" customHeight="false" outlineLevel="0" collapsed="false">
      <c r="A4" s="6" t="n">
        <v>3</v>
      </c>
      <c r="B4" s="6" t="n">
        <v>599</v>
      </c>
      <c r="C4" s="6" t="n">
        <v>6</v>
      </c>
    </row>
    <row r="5" customFormat="false" ht="15" hidden="false" customHeight="false" outlineLevel="0" collapsed="false">
      <c r="A5" s="6" t="n">
        <v>4</v>
      </c>
      <c r="B5" s="6" t="n">
        <v>669</v>
      </c>
      <c r="C5" s="6" t="n">
        <v>5</v>
      </c>
    </row>
    <row r="6" customFormat="false" ht="15" hidden="false" customHeight="false" outlineLevel="0" collapsed="false">
      <c r="A6" s="6" t="n">
        <v>5</v>
      </c>
      <c r="B6" s="6" t="n">
        <v>964</v>
      </c>
      <c r="C6" s="6" t="n">
        <v>3</v>
      </c>
    </row>
    <row r="7" customFormat="false" ht="15" hidden="false" customHeight="false" outlineLevel="0" collapsed="false">
      <c r="A7" s="6" t="n">
        <v>6</v>
      </c>
      <c r="B7" s="6" t="n">
        <v>1288</v>
      </c>
      <c r="C7" s="6" t="n">
        <v>3</v>
      </c>
    </row>
    <row r="9" customFormat="false" ht="45" hidden="false" customHeight="true" outlineLevel="0" collapsed="false">
      <c r="A9" s="7" t="s">
        <v>11</v>
      </c>
      <c r="B9" s="7"/>
      <c r="C9" s="7"/>
    </row>
  </sheetData>
  <mergeCells count="2">
    <mergeCell ref="A1:C1"/>
    <mergeCell ref="A9:C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20"/>
    <col collapsed="false" customWidth="true" hidden="false" outlineLevel="0" max="4" min="4" style="0" width="40"/>
  </cols>
  <sheetData>
    <row r="1" customFormat="false" ht="19.4" hidden="false" customHeight="false" outlineLevel="0" collapsed="false">
      <c r="A1" s="8" t="s">
        <v>12</v>
      </c>
      <c r="B1" s="8"/>
      <c r="C1" s="8"/>
      <c r="D1" s="8"/>
    </row>
    <row r="2" customFormat="false" ht="15" hidden="false" customHeight="false" outlineLevel="0" collapsed="false">
      <c r="A2" s="5" t="s">
        <v>13</v>
      </c>
      <c r="B2" s="5" t="s">
        <v>14</v>
      </c>
      <c r="C2" s="5" t="s">
        <v>15</v>
      </c>
      <c r="D2" s="5" t="s">
        <v>16</v>
      </c>
    </row>
    <row r="3" customFormat="false" ht="15" hidden="false" customHeight="false" outlineLevel="0" collapsed="false">
      <c r="A3" s="9" t="s">
        <v>17</v>
      </c>
      <c r="B3" s="10" t="n">
        <v>3500000</v>
      </c>
      <c r="C3" s="11" t="s">
        <v>18</v>
      </c>
      <c r="D3" s="9" t="s">
        <v>19</v>
      </c>
    </row>
    <row r="4" customFormat="false" ht="15" hidden="false" customHeight="false" outlineLevel="0" collapsed="false">
      <c r="A4" s="9" t="s">
        <v>20</v>
      </c>
      <c r="B4" s="10" t="n">
        <v>11000000</v>
      </c>
      <c r="C4" s="11" t="s">
        <v>21</v>
      </c>
      <c r="D4" s="9" t="s">
        <v>22</v>
      </c>
    </row>
    <row r="5" customFormat="false" ht="15" hidden="false" customHeight="false" outlineLevel="0" collapsed="false">
      <c r="A5" s="9" t="s">
        <v>23</v>
      </c>
      <c r="B5" s="10" t="n">
        <v>2000000</v>
      </c>
      <c r="C5" s="11" t="s">
        <v>24</v>
      </c>
      <c r="D5" s="9" t="s">
        <v>25</v>
      </c>
    </row>
    <row r="6" customFormat="false" ht="14.9" hidden="false" customHeight="false" outlineLevel="0" collapsed="false">
      <c r="A6" s="9" t="s">
        <v>26</v>
      </c>
      <c r="B6" s="10" t="n">
        <v>6000000</v>
      </c>
      <c r="C6" s="11" t="s">
        <v>27</v>
      </c>
      <c r="D6" s="9" t="s">
        <v>28</v>
      </c>
    </row>
    <row r="7" customFormat="false" ht="15" hidden="false" customHeight="false" outlineLevel="0" collapsed="false">
      <c r="A7" s="9" t="s">
        <v>29</v>
      </c>
      <c r="B7" s="10" t="n">
        <v>2000000</v>
      </c>
      <c r="C7" s="11" t="s">
        <v>24</v>
      </c>
      <c r="D7" s="9" t="s">
        <v>30</v>
      </c>
    </row>
    <row r="8" customFormat="false" ht="15" hidden="false" customHeight="false" outlineLevel="0" collapsed="false">
      <c r="A8" s="9" t="s">
        <v>31</v>
      </c>
      <c r="B8" s="10" t="n">
        <v>7500000</v>
      </c>
      <c r="C8" s="11" t="s">
        <v>32</v>
      </c>
      <c r="D8" s="9" t="s">
        <v>33</v>
      </c>
    </row>
    <row r="9" customFormat="false" ht="15" hidden="false" customHeight="false" outlineLevel="0" collapsed="false">
      <c r="A9" s="9" t="s">
        <v>34</v>
      </c>
      <c r="B9" s="10" t="n">
        <v>1500000</v>
      </c>
      <c r="C9" s="11" t="s">
        <v>35</v>
      </c>
      <c r="D9" s="9"/>
    </row>
    <row r="10" customFormat="false" ht="15" hidden="false" customHeight="false" outlineLevel="0" collapsed="false">
      <c r="A10" s="12" t="s">
        <v>36</v>
      </c>
      <c r="B10" s="13" t="n">
        <f aca="false">SUM(B3:B9)</f>
        <v>33500000</v>
      </c>
      <c r="C10" s="14"/>
      <c r="D10" s="14"/>
    </row>
    <row r="11" customFormat="false" ht="15" hidden="false" customHeight="false" outlineLevel="0" collapsed="false">
      <c r="A11" s="11" t="s">
        <v>37</v>
      </c>
      <c r="B11" s="15" t="n">
        <f aca="false">B4+B5+B6</f>
        <v>19000000</v>
      </c>
      <c r="C11" s="16"/>
      <c r="D11" s="16"/>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20"/>
    <col collapsed="false" customWidth="true" hidden="false" outlineLevel="0" max="3" min="3" style="0" width="55"/>
  </cols>
  <sheetData>
    <row r="1" customFormat="false" ht="19.4" hidden="false" customHeight="false" outlineLevel="0" collapsed="false">
      <c r="A1" s="8" t="s">
        <v>38</v>
      </c>
      <c r="B1" s="8"/>
      <c r="C1" s="8"/>
    </row>
    <row r="2" customFormat="false" ht="15" hidden="false" customHeight="false" outlineLevel="0" collapsed="false">
      <c r="A2" s="5" t="s">
        <v>13</v>
      </c>
      <c r="B2" s="5" t="s">
        <v>39</v>
      </c>
      <c r="C2" s="5" t="s">
        <v>40</v>
      </c>
    </row>
    <row r="3" customFormat="false" ht="15" hidden="false" customHeight="false" outlineLevel="0" collapsed="false">
      <c r="A3" s="9" t="s">
        <v>41</v>
      </c>
      <c r="B3" s="17" t="n">
        <v>20</v>
      </c>
      <c r="C3" s="18" t="s">
        <v>42</v>
      </c>
    </row>
    <row r="4" customFormat="false" ht="28.35" hidden="false" customHeight="false" outlineLevel="0" collapsed="false">
      <c r="A4" s="9" t="s">
        <v>43</v>
      </c>
      <c r="B4" s="19" t="n">
        <v>4</v>
      </c>
      <c r="C4" s="18" t="s">
        <v>44</v>
      </c>
    </row>
    <row r="5" customFormat="false" ht="15" hidden="false" customHeight="false" outlineLevel="0" collapsed="false">
      <c r="A5" s="9" t="s">
        <v>45</v>
      </c>
      <c r="B5" s="9" t="n">
        <f aca="false">INDEX(報酬単価表!$B$3:$B$7,MATCH(B4,報酬単価表!$A$3:$A$7,0))</f>
        <v>669</v>
      </c>
      <c r="C5" s="18" t="s">
        <v>46</v>
      </c>
    </row>
    <row r="6" customFormat="false" ht="15" hidden="false" customHeight="false" outlineLevel="0" collapsed="false">
      <c r="A6" s="9" t="s">
        <v>47</v>
      </c>
      <c r="B6" s="9" t="n">
        <f aca="false">INDEX(報酬単価表!$C$3:$C$7,MATCH(B4,報酬単価表!$A$3:$A$7,0))</f>
        <v>5</v>
      </c>
      <c r="C6" s="18" t="s">
        <v>48</v>
      </c>
    </row>
    <row r="7" customFormat="false" ht="15" hidden="false" customHeight="false" outlineLevel="0" collapsed="false">
      <c r="A7" s="9" t="s">
        <v>49</v>
      </c>
      <c r="B7" s="9" t="n">
        <f aca="false">ROUNDUP(B3/B6,0)</f>
        <v>4</v>
      </c>
      <c r="C7" s="18" t="s">
        <v>42</v>
      </c>
    </row>
    <row r="8" customFormat="false" ht="41.75" hidden="false" customHeight="false" outlineLevel="0" collapsed="false">
      <c r="A8" s="9" t="s">
        <v>50</v>
      </c>
      <c r="B8" s="20" t="n">
        <v>10</v>
      </c>
      <c r="C8" s="18" t="s">
        <v>51</v>
      </c>
    </row>
    <row r="9" customFormat="false" ht="15" hidden="false" customHeight="false" outlineLevel="0" collapsed="false">
      <c r="A9" s="9" t="s">
        <v>52</v>
      </c>
      <c r="B9" s="19" t="n">
        <v>54</v>
      </c>
      <c r="C9" s="18" t="s">
        <v>53</v>
      </c>
    </row>
    <row r="10" customFormat="false" ht="15" hidden="false" customHeight="false" outlineLevel="0" collapsed="false">
      <c r="A10" s="9" t="s">
        <v>54</v>
      </c>
      <c r="B10" s="21" t="n">
        <v>0.8</v>
      </c>
      <c r="C10" s="22" t="s">
        <v>55</v>
      </c>
    </row>
    <row r="11" customFormat="false" ht="28.35" hidden="false" customHeight="false" outlineLevel="0" collapsed="false">
      <c r="A11" s="9" t="s">
        <v>56</v>
      </c>
      <c r="B11" s="23" t="n">
        <v>0.15</v>
      </c>
      <c r="C11" s="22" t="s">
        <v>57</v>
      </c>
    </row>
    <row r="12" customFormat="false" ht="15" hidden="false" customHeight="false" outlineLevel="0" collapsed="false">
      <c r="A12" s="9" t="s">
        <v>58</v>
      </c>
      <c r="B12" s="23" t="n">
        <v>0.05</v>
      </c>
      <c r="C12" s="22" t="s">
        <v>59</v>
      </c>
    </row>
    <row r="13" customFormat="false" ht="15" hidden="false" customHeight="false" outlineLevel="0" collapsed="false">
      <c r="A13" s="9" t="s">
        <v>60</v>
      </c>
      <c r="B13" s="17" t="n">
        <v>250</v>
      </c>
      <c r="C13" s="18" t="s">
        <v>61</v>
      </c>
    </row>
    <row r="14" customFormat="false" ht="15" hidden="false" customHeight="false" outlineLevel="0" collapsed="false">
      <c r="A14" s="9" t="s">
        <v>62</v>
      </c>
      <c r="B14" s="24" t="n">
        <v>300000</v>
      </c>
      <c r="C14" s="18" t="s">
        <v>63</v>
      </c>
    </row>
    <row r="15" customFormat="false" ht="15" hidden="false" customHeight="false" outlineLevel="0" collapsed="false">
      <c r="A15" s="9" t="s">
        <v>64</v>
      </c>
      <c r="B15" s="10" t="n">
        <v>1500000</v>
      </c>
      <c r="C15" s="18" t="s">
        <v>65</v>
      </c>
    </row>
    <row r="16" customFormat="false" ht="15" hidden="false" customHeight="false" outlineLevel="0" collapsed="false">
      <c r="A16" s="9" t="s">
        <v>66</v>
      </c>
      <c r="B16" s="10" t="n">
        <v>3000000</v>
      </c>
      <c r="C16" s="18" t="s">
        <v>67</v>
      </c>
    </row>
    <row r="17" customFormat="false" ht="15" hidden="false" customHeight="false" outlineLevel="0" collapsed="false">
      <c r="A17" s="9" t="s">
        <v>68</v>
      </c>
      <c r="B17" s="15" t="n">
        <f aca="false">初期投資!$B$11</f>
        <v>19000000</v>
      </c>
      <c r="C17" s="18" t="s">
        <v>67</v>
      </c>
    </row>
    <row r="18" customFormat="false" ht="15" hidden="false" customHeight="false" outlineLevel="0" collapsed="false">
      <c r="A18" s="9" t="s">
        <v>69</v>
      </c>
      <c r="B18" s="17" t="n">
        <v>8</v>
      </c>
      <c r="C18" s="18" t="s">
        <v>70</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6"/>
    <col collapsed="false" customWidth="true" hidden="false" outlineLevel="0" max="3" min="3" style="0" width="20"/>
    <col collapsed="false" customWidth="true" hidden="false" outlineLevel="0" max="4" min="4" style="0" width="18"/>
    <col collapsed="false" customWidth="true" hidden="false" outlineLevel="0" max="5" min="5" style="0" width="42"/>
  </cols>
  <sheetData>
    <row r="1" customFormat="false" ht="17.35" hidden="false" customHeight="false" outlineLevel="0" collapsed="false">
      <c r="A1" s="8" t="s">
        <v>71</v>
      </c>
      <c r="B1" s="8"/>
      <c r="C1" s="8"/>
      <c r="D1" s="8"/>
      <c r="E1" s="8"/>
    </row>
    <row r="2" customFormat="false" ht="15" hidden="false" customHeight="false" outlineLevel="0" collapsed="false">
      <c r="A2" s="5" t="s">
        <v>72</v>
      </c>
      <c r="B2" s="5" t="s">
        <v>73</v>
      </c>
      <c r="C2" s="5" t="s">
        <v>74</v>
      </c>
      <c r="D2" s="5" t="s">
        <v>75</v>
      </c>
      <c r="E2" s="5" t="s">
        <v>16</v>
      </c>
    </row>
    <row r="3" customFormat="false" ht="15" hidden="false" customHeight="false" outlineLevel="0" collapsed="false">
      <c r="A3" s="9" t="s">
        <v>76</v>
      </c>
      <c r="B3" s="17" t="n">
        <v>1</v>
      </c>
      <c r="C3" s="10" t="n">
        <v>4500000</v>
      </c>
      <c r="D3" s="15" t="n">
        <f aca="false">B3*C3</f>
        <v>4500000</v>
      </c>
      <c r="E3" s="18" t="s">
        <v>77</v>
      </c>
    </row>
    <row r="4" customFormat="false" ht="15" hidden="false" customHeight="false" outlineLevel="0" collapsed="false">
      <c r="A4" s="9" t="s">
        <v>78</v>
      </c>
      <c r="B4" s="17" t="n">
        <v>1</v>
      </c>
      <c r="C4" s="10" t="n">
        <v>4800000</v>
      </c>
      <c r="D4" s="15" t="n">
        <f aca="false">B4*C4</f>
        <v>4800000</v>
      </c>
      <c r="E4" s="18" t="s">
        <v>79</v>
      </c>
    </row>
    <row r="5" customFormat="false" ht="41.75" hidden="false" customHeight="false" outlineLevel="0" collapsed="false">
      <c r="A5" s="9" t="s">
        <v>80</v>
      </c>
      <c r="B5" s="9" t="n">
        <f aca="false">前提条件!$B$7</f>
        <v>4</v>
      </c>
      <c r="C5" s="10" t="n">
        <v>3600000</v>
      </c>
      <c r="D5" s="15" t="n">
        <f aca="false">B5*C5</f>
        <v>14400000</v>
      </c>
      <c r="E5" s="18" t="s">
        <v>81</v>
      </c>
    </row>
    <row r="6" customFormat="false" ht="15" hidden="false" customHeight="false" outlineLevel="0" collapsed="false">
      <c r="A6" s="9" t="s">
        <v>82</v>
      </c>
      <c r="B6" s="17" t="n">
        <v>0.5</v>
      </c>
      <c r="C6" s="10" t="n">
        <v>3200000</v>
      </c>
      <c r="D6" s="15" t="n">
        <f aca="false">B6*C6</f>
        <v>1600000</v>
      </c>
      <c r="E6" s="18" t="s">
        <v>83</v>
      </c>
    </row>
    <row r="7" customFormat="false" ht="28.35" hidden="false" customHeight="false" outlineLevel="0" collapsed="false">
      <c r="A7" s="9" t="s">
        <v>84</v>
      </c>
      <c r="B7" s="17" t="n">
        <v>1</v>
      </c>
      <c r="C7" s="10" t="n">
        <v>700000</v>
      </c>
      <c r="D7" s="15" t="n">
        <f aca="false">B7*C7</f>
        <v>700000</v>
      </c>
      <c r="E7" s="18" t="s">
        <v>85</v>
      </c>
    </row>
    <row r="8" customFormat="false" ht="28.35" hidden="false" customHeight="false" outlineLevel="0" collapsed="false">
      <c r="A8" s="9" t="s">
        <v>86</v>
      </c>
      <c r="B8" s="17" t="n">
        <v>0.3</v>
      </c>
      <c r="C8" s="10" t="n">
        <v>4000000</v>
      </c>
      <c r="D8" s="15" t="n">
        <f aca="false">B8*C8</f>
        <v>1200000</v>
      </c>
      <c r="E8" s="18" t="s">
        <v>87</v>
      </c>
    </row>
    <row r="9" customFormat="false" ht="15" hidden="false" customHeight="false" outlineLevel="0" collapsed="false">
      <c r="A9" s="12" t="s">
        <v>88</v>
      </c>
      <c r="B9" s="14"/>
      <c r="C9" s="14"/>
      <c r="D9" s="13" t="n">
        <f aca="false">SUM(D3:D8)</f>
        <v>27200000</v>
      </c>
      <c r="E9" s="14"/>
    </row>
    <row r="10" customFormat="false" ht="15" hidden="false" customHeight="false" outlineLevel="0" collapsed="false">
      <c r="A10" s="9" t="s">
        <v>89</v>
      </c>
      <c r="B10" s="16"/>
      <c r="C10" s="16"/>
      <c r="D10" s="15" t="n">
        <f aca="false">D9*0.15</f>
        <v>4080000</v>
      </c>
      <c r="E10" s="16"/>
    </row>
    <row r="11" customFormat="false" ht="15" hidden="false" customHeight="false" outlineLevel="0" collapsed="false">
      <c r="A11" s="12" t="s">
        <v>90</v>
      </c>
      <c r="B11" s="14"/>
      <c r="C11" s="14"/>
      <c r="D11" s="13" t="n">
        <f aca="false">D9+D10</f>
        <v>31280000</v>
      </c>
      <c r="E11" s="14"/>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6" min="2" style="0" width="16"/>
  </cols>
  <sheetData>
    <row r="1" customFormat="false" ht="19.4" hidden="false" customHeight="false" outlineLevel="0" collapsed="false">
      <c r="A1" s="25" t="s">
        <v>91</v>
      </c>
      <c r="B1" s="25"/>
      <c r="C1" s="25"/>
      <c r="D1" s="25"/>
      <c r="E1" s="25"/>
      <c r="F1" s="25"/>
    </row>
    <row r="2" customFormat="false" ht="15" hidden="false" customHeight="false" outlineLevel="0" collapsed="false">
      <c r="A2" s="5" t="s">
        <v>13</v>
      </c>
      <c r="B2" s="26" t="s">
        <v>92</v>
      </c>
      <c r="C2" s="26" t="s">
        <v>93</v>
      </c>
      <c r="D2" s="26" t="s">
        <v>94</v>
      </c>
      <c r="E2" s="26" t="s">
        <v>95</v>
      </c>
      <c r="F2" s="26" t="s">
        <v>96</v>
      </c>
    </row>
    <row r="3" customFormat="false" ht="15" hidden="false" customHeight="false" outlineLevel="0" collapsed="false">
      <c r="A3" s="9" t="s">
        <v>97</v>
      </c>
      <c r="B3" s="23" t="n">
        <v>0.6</v>
      </c>
      <c r="C3" s="23" t="n">
        <v>0.75</v>
      </c>
      <c r="D3" s="23" t="n">
        <v>0.85</v>
      </c>
      <c r="E3" s="23" t="n">
        <v>0.9</v>
      </c>
      <c r="F3" s="23" t="n">
        <v>0.9</v>
      </c>
    </row>
    <row r="4" customFormat="false" ht="15" hidden="false" customHeight="false" outlineLevel="0" collapsed="false">
      <c r="A4" s="9" t="s">
        <v>98</v>
      </c>
      <c r="B4" s="27" t="n">
        <f aca="false">前提条件!$B$3*B3</f>
        <v>12</v>
      </c>
      <c r="C4" s="27" t="n">
        <f aca="false">前提条件!$B$3*C3</f>
        <v>15</v>
      </c>
      <c r="D4" s="27" t="n">
        <f aca="false">前提条件!$B$3*D3</f>
        <v>17</v>
      </c>
      <c r="E4" s="27" t="n">
        <f aca="false">前提条件!$B$3*E3</f>
        <v>18</v>
      </c>
      <c r="F4" s="27" t="n">
        <f aca="false">前提条件!$B$3*F3</f>
        <v>18</v>
      </c>
    </row>
    <row r="5" customFormat="false" ht="15" hidden="false" customHeight="false" outlineLevel="0" collapsed="false">
      <c r="A5" s="9" t="s">
        <v>99</v>
      </c>
      <c r="B5" s="28" t="n">
        <f aca="false">前提条件!$B$13</f>
        <v>250</v>
      </c>
      <c r="C5" s="28" t="n">
        <f aca="false">前提条件!$B$13</f>
        <v>250</v>
      </c>
      <c r="D5" s="28" t="n">
        <f aca="false">前提条件!$B$13</f>
        <v>250</v>
      </c>
      <c r="E5" s="28" t="n">
        <f aca="false">前提条件!$B$13</f>
        <v>250</v>
      </c>
      <c r="F5" s="28" t="n">
        <f aca="false">前提条件!$B$13</f>
        <v>250</v>
      </c>
    </row>
    <row r="6" customFormat="false" ht="14.9" hidden="false" customHeight="false" outlineLevel="0" collapsed="false">
      <c r="A6" s="9" t="s">
        <v>100</v>
      </c>
      <c r="B6" s="15" t="n">
        <f aca="false">前提条件!$B$5*前提条件!$B$8</f>
        <v>6690</v>
      </c>
      <c r="C6" s="15" t="n">
        <f aca="false">前提条件!$B$5*前提条件!$B$8</f>
        <v>6690</v>
      </c>
      <c r="D6" s="15" t="n">
        <f aca="false">前提条件!$B$5*前提条件!$B$8</f>
        <v>6690</v>
      </c>
      <c r="E6" s="15" t="n">
        <f aca="false">前提条件!$B$5*前提条件!$B$8</f>
        <v>6690</v>
      </c>
      <c r="F6" s="15" t="n">
        <f aca="false">前提条件!$B$5*前提条件!$B$8</f>
        <v>6690</v>
      </c>
    </row>
    <row r="7" customFormat="false" ht="15" hidden="false" customHeight="false" outlineLevel="0" collapsed="false">
      <c r="A7" s="16"/>
      <c r="B7" s="16"/>
      <c r="C7" s="16"/>
      <c r="D7" s="16"/>
      <c r="E7" s="16"/>
      <c r="F7" s="16"/>
    </row>
    <row r="8" customFormat="false" ht="15" hidden="false" customHeight="false" outlineLevel="0" collapsed="false">
      <c r="A8" s="29" t="s">
        <v>101</v>
      </c>
      <c r="B8" s="16"/>
      <c r="C8" s="16"/>
      <c r="D8" s="16"/>
      <c r="E8" s="16"/>
      <c r="F8" s="16"/>
    </row>
    <row r="9" customFormat="false" ht="15" hidden="false" customHeight="false" outlineLevel="0" collapsed="false">
      <c r="A9" s="9" t="s">
        <v>102</v>
      </c>
      <c r="B9" s="15" t="n">
        <f aca="false">B4*B6*B5</f>
        <v>20070000</v>
      </c>
      <c r="C9" s="15" t="n">
        <f aca="false">C4*C6*C5</f>
        <v>25087500</v>
      </c>
      <c r="D9" s="15" t="n">
        <f aca="false">D4*D6*D5</f>
        <v>28432500</v>
      </c>
      <c r="E9" s="15" t="n">
        <f aca="false">E4*E6*E5</f>
        <v>30105000</v>
      </c>
      <c r="F9" s="15" t="n">
        <f aca="false">F4*F6*F5</f>
        <v>30105000</v>
      </c>
    </row>
    <row r="10" customFormat="false" ht="14.9" hidden="false" customHeight="false" outlineLevel="0" collapsed="false">
      <c r="A10" s="9" t="s">
        <v>103</v>
      </c>
      <c r="B10" s="15" t="n">
        <f aca="false">B4*前提条件!$B$10*(前提条件!$B$9*2)*前提条件!$B$8*B5</f>
        <v>2592000</v>
      </c>
      <c r="C10" s="15" t="n">
        <f aca="false">C4*前提条件!$B$10*(前提条件!$B$9*2)*前提条件!$B$8*C5</f>
        <v>3240000</v>
      </c>
      <c r="D10" s="15" t="n">
        <f aca="false">D4*前提条件!$B$10*(前提条件!$B$9*2)*前提条件!$B$8*D5</f>
        <v>3672000</v>
      </c>
      <c r="E10" s="15" t="n">
        <f aca="false">E4*前提条件!$B$10*(前提条件!$B$9*2)*前提条件!$B$8*E5</f>
        <v>3888000</v>
      </c>
      <c r="F10" s="15" t="n">
        <f aca="false">F4*前提条件!$B$10*(前提条件!$B$9*2)*前提条件!$B$8*F5</f>
        <v>3888000</v>
      </c>
    </row>
    <row r="11" customFormat="false" ht="14.9" hidden="false" customHeight="false" outlineLevel="0" collapsed="false">
      <c r="A11" s="9" t="s">
        <v>104</v>
      </c>
      <c r="B11" s="15" t="n">
        <f aca="false">B9*前提条件!$B$11</f>
        <v>3010500</v>
      </c>
      <c r="C11" s="15" t="n">
        <f aca="false">C9*前提条件!$B$11</f>
        <v>3763125</v>
      </c>
      <c r="D11" s="15" t="n">
        <f aca="false">D9*前提条件!$B$11</f>
        <v>4264875</v>
      </c>
      <c r="E11" s="15" t="n">
        <f aca="false">E9*前提条件!$B$11</f>
        <v>4515750</v>
      </c>
      <c r="F11" s="15" t="n">
        <f aca="false">F9*前提条件!$B$11</f>
        <v>4515750</v>
      </c>
    </row>
    <row r="12" customFormat="false" ht="14.9" hidden="false" customHeight="false" outlineLevel="0" collapsed="false">
      <c r="A12" s="9" t="s">
        <v>105</v>
      </c>
      <c r="B12" s="15" t="n">
        <f aca="false">B9*前提条件!$B$12</f>
        <v>1003500</v>
      </c>
      <c r="C12" s="15" t="n">
        <f aca="false">C9*前提条件!$B$12</f>
        <v>1254375</v>
      </c>
      <c r="D12" s="15" t="n">
        <f aca="false">D9*前提条件!$B$12</f>
        <v>1421625</v>
      </c>
      <c r="E12" s="15" t="n">
        <f aca="false">E9*前提条件!$B$12</f>
        <v>1505250</v>
      </c>
      <c r="F12" s="15" t="n">
        <f aca="false">F9*前提条件!$B$12</f>
        <v>1505250</v>
      </c>
    </row>
    <row r="13" customFormat="false" ht="15" hidden="false" customHeight="false" outlineLevel="0" collapsed="false">
      <c r="A13" s="29" t="s">
        <v>106</v>
      </c>
      <c r="B13" s="13" t="n">
        <f aca="false">SUM(B9:B12)</f>
        <v>26676000</v>
      </c>
      <c r="C13" s="13" t="n">
        <f aca="false">SUM(C9:C12)</f>
        <v>33345000</v>
      </c>
      <c r="D13" s="13" t="n">
        <f aca="false">SUM(D9:D12)</f>
        <v>37791000</v>
      </c>
      <c r="E13" s="13" t="n">
        <f aca="false">SUM(E9:E12)</f>
        <v>40014000</v>
      </c>
      <c r="F13" s="13" t="n">
        <f aca="false">SUM(F9:F12)</f>
        <v>40014000</v>
      </c>
    </row>
    <row r="14" customFormat="false" ht="15" hidden="false" customHeight="false" outlineLevel="0" collapsed="false">
      <c r="A14" s="16"/>
      <c r="B14" s="16"/>
      <c r="C14" s="16"/>
      <c r="D14" s="16"/>
      <c r="E14" s="16"/>
      <c r="F14" s="16"/>
    </row>
    <row r="15" customFormat="false" ht="15" hidden="false" customHeight="false" outlineLevel="0" collapsed="false">
      <c r="A15" s="29" t="s">
        <v>107</v>
      </c>
      <c r="B15" s="16"/>
      <c r="C15" s="16"/>
      <c r="D15" s="16"/>
      <c r="E15" s="16"/>
      <c r="F15" s="16"/>
    </row>
    <row r="16" customFormat="false" ht="14.9" hidden="false" customHeight="false" outlineLevel="0" collapsed="false">
      <c r="A16" s="9" t="s">
        <v>108</v>
      </c>
      <c r="B16" s="15" t="n">
        <f aca="false">人件費!$D$11</f>
        <v>31280000</v>
      </c>
      <c r="C16" s="15" t="n">
        <f aca="false">人件費!$D$11</f>
        <v>31280000</v>
      </c>
      <c r="D16" s="15" t="n">
        <f aca="false">人件費!$D$11</f>
        <v>31280000</v>
      </c>
      <c r="E16" s="15" t="n">
        <f aca="false">人件費!$D$11</f>
        <v>31280000</v>
      </c>
      <c r="F16" s="15" t="n">
        <f aca="false">人件費!$D$11</f>
        <v>31280000</v>
      </c>
    </row>
    <row r="17" customFormat="false" ht="15" hidden="false" customHeight="false" outlineLevel="0" collapsed="false">
      <c r="A17" s="9" t="s">
        <v>109</v>
      </c>
      <c r="B17" s="15" t="n">
        <f aca="false">前提条件!$B$14*12</f>
        <v>3600000</v>
      </c>
      <c r="C17" s="15" t="n">
        <f aca="false">前提条件!$B$14*12</f>
        <v>3600000</v>
      </c>
      <c r="D17" s="15" t="n">
        <f aca="false">前提条件!$B$14*12</f>
        <v>3600000</v>
      </c>
      <c r="E17" s="15" t="n">
        <f aca="false">前提条件!$B$14*12</f>
        <v>3600000</v>
      </c>
      <c r="F17" s="15" t="n">
        <f aca="false">前提条件!$B$14*12</f>
        <v>3600000</v>
      </c>
    </row>
    <row r="18" customFormat="false" ht="15" hidden="false" customHeight="false" outlineLevel="0" collapsed="false">
      <c r="A18" s="9" t="s">
        <v>110</v>
      </c>
      <c r="B18" s="15" t="n">
        <f aca="false">前提条件!$B$15</f>
        <v>1500000</v>
      </c>
      <c r="C18" s="15" t="n">
        <f aca="false">前提条件!$B$15</f>
        <v>1500000</v>
      </c>
      <c r="D18" s="15" t="n">
        <f aca="false">前提条件!$B$15</f>
        <v>1500000</v>
      </c>
      <c r="E18" s="15" t="n">
        <f aca="false">前提条件!$B$15</f>
        <v>1500000</v>
      </c>
      <c r="F18" s="15" t="n">
        <f aca="false">前提条件!$B$15</f>
        <v>1500000</v>
      </c>
    </row>
    <row r="19" customFormat="false" ht="15" hidden="false" customHeight="false" outlineLevel="0" collapsed="false">
      <c r="A19" s="9" t="s">
        <v>111</v>
      </c>
      <c r="B19" s="15" t="n">
        <f aca="false">前提条件!$B$16</f>
        <v>3000000</v>
      </c>
      <c r="C19" s="15" t="n">
        <f aca="false">前提条件!$B$16</f>
        <v>3000000</v>
      </c>
      <c r="D19" s="15" t="n">
        <f aca="false">前提条件!$B$16</f>
        <v>3000000</v>
      </c>
      <c r="E19" s="15" t="n">
        <f aca="false">前提条件!$B$16</f>
        <v>3000000</v>
      </c>
      <c r="F19" s="15" t="n">
        <f aca="false">前提条件!$B$16</f>
        <v>3000000</v>
      </c>
    </row>
    <row r="20" customFormat="false" ht="15" hidden="false" customHeight="false" outlineLevel="0" collapsed="false">
      <c r="A20" s="9" t="s">
        <v>112</v>
      </c>
      <c r="B20" s="15" t="n">
        <f aca="false">前提条件!$B$17/前提条件!$B$18</f>
        <v>2375000</v>
      </c>
      <c r="C20" s="15" t="n">
        <f aca="false">前提条件!$B$17/前提条件!$B$18</f>
        <v>2375000</v>
      </c>
      <c r="D20" s="15" t="n">
        <f aca="false">前提条件!$B$17/前提条件!$B$18</f>
        <v>2375000</v>
      </c>
      <c r="E20" s="15" t="n">
        <f aca="false">前提条件!$B$17/前提条件!$B$18</f>
        <v>2375000</v>
      </c>
      <c r="F20" s="15" t="n">
        <f aca="false">前提条件!$B$17/前提条件!$B$18</f>
        <v>2375000</v>
      </c>
    </row>
    <row r="21" customFormat="false" ht="15" hidden="false" customHeight="false" outlineLevel="0" collapsed="false">
      <c r="A21" s="29" t="s">
        <v>113</v>
      </c>
      <c r="B21" s="13" t="n">
        <f aca="false">SUM(B16:B20)</f>
        <v>41755000</v>
      </c>
      <c r="C21" s="13" t="n">
        <f aca="false">SUM(C16:C20)</f>
        <v>41755000</v>
      </c>
      <c r="D21" s="13" t="n">
        <f aca="false">SUM(D16:D20)</f>
        <v>41755000</v>
      </c>
      <c r="E21" s="13" t="n">
        <f aca="false">SUM(E16:E20)</f>
        <v>41755000</v>
      </c>
      <c r="F21" s="13" t="n">
        <f aca="false">SUM(F16:F20)</f>
        <v>41755000</v>
      </c>
    </row>
    <row r="22" customFormat="false" ht="15" hidden="false" customHeight="false" outlineLevel="0" collapsed="false">
      <c r="A22" s="16"/>
      <c r="B22" s="16"/>
      <c r="C22" s="16"/>
      <c r="D22" s="16"/>
      <c r="E22" s="16"/>
      <c r="F22" s="16"/>
    </row>
    <row r="23" customFormat="false" ht="15" hidden="false" customHeight="false" outlineLevel="0" collapsed="false">
      <c r="A23" s="29" t="s">
        <v>114</v>
      </c>
      <c r="B23" s="13" t="n">
        <f aca="false">B13-B21</f>
        <v>-15079000</v>
      </c>
      <c r="C23" s="13" t="n">
        <f aca="false">C13-C21</f>
        <v>-8410000</v>
      </c>
      <c r="D23" s="13" t="n">
        <f aca="false">D13-D21</f>
        <v>-3964000</v>
      </c>
      <c r="E23" s="13" t="n">
        <f aca="false">E13-E21</f>
        <v>-1741000</v>
      </c>
      <c r="F23" s="13" t="n">
        <f aca="false">F13-F21</f>
        <v>-1741000</v>
      </c>
    </row>
    <row r="24" customFormat="false" ht="15" hidden="false" customHeight="false" outlineLevel="0" collapsed="false">
      <c r="A24" s="9" t="s">
        <v>115</v>
      </c>
      <c r="B24" s="30" t="n">
        <f aca="false">IFERROR(B23/B13,0)</f>
        <v>-0.565264657369921</v>
      </c>
      <c r="C24" s="30" t="n">
        <f aca="false">IFERROR(C23/C13,0)</f>
        <v>-0.252211725895936</v>
      </c>
      <c r="D24" s="30" t="n">
        <f aca="false">IFERROR(D23/D13,0)</f>
        <v>-0.104892699319944</v>
      </c>
      <c r="E24" s="30" t="n">
        <f aca="false">IFERROR(E23/E13,0)</f>
        <v>-0.043509771579947</v>
      </c>
      <c r="F24" s="30" t="n">
        <f aca="false">IFERROR(F23/F13,0)</f>
        <v>-0.043509771579947</v>
      </c>
    </row>
    <row r="25" customFormat="false" ht="15" hidden="false" customHeight="false" outlineLevel="0" collapsed="false">
      <c r="A25" s="16"/>
      <c r="B25" s="16"/>
      <c r="C25" s="16"/>
      <c r="D25" s="16"/>
      <c r="E25" s="16"/>
      <c r="F25" s="16"/>
    </row>
    <row r="26" customFormat="false" ht="15" hidden="false" customHeight="false" outlineLevel="0" collapsed="false">
      <c r="A26" s="29" t="s">
        <v>116</v>
      </c>
      <c r="B26" s="16"/>
      <c r="C26" s="16"/>
      <c r="D26" s="16"/>
      <c r="E26" s="16"/>
      <c r="F26" s="16"/>
    </row>
    <row r="27" customFormat="false" ht="14.9" hidden="false" customHeight="false" outlineLevel="0" collapsed="false">
      <c r="A27" s="9" t="s">
        <v>117</v>
      </c>
      <c r="B27" s="15" t="n">
        <f aca="false">B23+B20</f>
        <v>-12704000</v>
      </c>
      <c r="C27" s="15" t="n">
        <f aca="false">C23+C20</f>
        <v>-6035000</v>
      </c>
      <c r="D27" s="15" t="n">
        <f aca="false">D23+D20</f>
        <v>-1589000</v>
      </c>
      <c r="E27" s="15" t="n">
        <f aca="false">E23+E20</f>
        <v>634000</v>
      </c>
      <c r="F27" s="15" t="n">
        <f aca="false">F23+F20</f>
        <v>634000</v>
      </c>
    </row>
    <row r="28" customFormat="false" ht="14.9" hidden="false" customHeight="false" outlineLevel="0" collapsed="false">
      <c r="A28" s="9" t="s">
        <v>118</v>
      </c>
      <c r="B28" s="24" t="n">
        <v>0</v>
      </c>
      <c r="C28" s="24" t="n">
        <v>2000000</v>
      </c>
      <c r="D28" s="24" t="n">
        <v>2500000</v>
      </c>
      <c r="E28" s="24" t="n">
        <v>2500000</v>
      </c>
      <c r="F28" s="24" t="n">
        <v>2500000</v>
      </c>
    </row>
    <row r="29" customFormat="false" ht="15" hidden="false" customHeight="false" outlineLevel="0" collapsed="false">
      <c r="A29" s="9" t="s">
        <v>119</v>
      </c>
      <c r="B29" s="15" t="n">
        <f aca="false">B27-B28</f>
        <v>-12704000</v>
      </c>
      <c r="C29" s="15" t="n">
        <f aca="false">C27-C28</f>
        <v>-8035000</v>
      </c>
      <c r="D29" s="15" t="n">
        <f aca="false">D27-D28</f>
        <v>-4089000</v>
      </c>
      <c r="E29" s="15" t="n">
        <f aca="false">E27-E28</f>
        <v>-1866000</v>
      </c>
      <c r="F29" s="15" t="n">
        <f aca="false">F27-F28</f>
        <v>-1866000</v>
      </c>
    </row>
    <row r="30" customFormat="false" ht="14.9" hidden="false" customHeight="false" outlineLevel="0" collapsed="false">
      <c r="A30" s="29" t="s">
        <v>120</v>
      </c>
      <c r="B30" s="13" t="n">
        <f aca="false">B29</f>
        <v>-12704000</v>
      </c>
      <c r="C30" s="13" t="n">
        <f aca="false">B30+C29</f>
        <v>-20739000</v>
      </c>
      <c r="D30" s="13" t="n">
        <f aca="false">C30+D29</f>
        <v>-24828000</v>
      </c>
      <c r="E30" s="13" t="n">
        <f aca="false">D30+E29</f>
        <v>-26694000</v>
      </c>
      <c r="F30" s="13" t="n">
        <f aca="false">E30+F29</f>
        <v>-28560000</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2026-08-15T01:46:22Z</dcterms:created>
  <dc:creator>openpyxl</dc:creator>
  <dc:description/>
  <dc:language>en-US</dc:language>
  <cp:lastModifiedBy/>
  <dcterms:modified xsi:type="dcterms:W3CDTF">2026-08-15T01:46:22Z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